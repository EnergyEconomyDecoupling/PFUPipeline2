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kh2/github/PFUPipeline2/report_scripts/Matos Henrique/"/>
    </mc:Choice>
  </mc:AlternateContent>
  <xr:revisionPtr revIDLastSave="0" documentId="13_ncr:1_{140A03ED-5263-9148-96F5-4556F5EC4FCC}" xr6:coauthVersionLast="47" xr6:coauthVersionMax="47" xr10:uidLastSave="{00000000-0000-0000-0000-000000000000}"/>
  <bookViews>
    <workbookView xWindow="6120" yWindow="500" windowWidth="36020" windowHeight="28300" activeTab="1" xr2:uid="{E77F7F80-1FCB-A44F-BECA-7A50358C638A}"/>
  </bookViews>
  <sheets>
    <sheet name="Readme" sheetId="1" r:id="rId1"/>
    <sheet name="Example calculation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4" i="2" l="1"/>
  <c r="D36" i="2" s="1"/>
  <c r="I5" i="2"/>
  <c r="D37" i="2" s="1"/>
  <c r="I6" i="2"/>
  <c r="D38" i="2" s="1"/>
  <c r="I3" i="2"/>
  <c r="D35" i="2" s="1"/>
  <c r="R39" i="2"/>
  <c r="R57" i="2" s="1"/>
  <c r="N18" i="2"/>
  <c r="P6" i="2"/>
  <c r="N28" i="2" s="1"/>
  <c r="O6" i="2"/>
  <c r="AA48" i="2" s="1"/>
  <c r="AA59" i="2" s="1"/>
  <c r="C38" i="2" l="1"/>
  <c r="F35" i="2"/>
  <c r="C36" i="2"/>
  <c r="G35" i="2"/>
  <c r="E35" i="2"/>
  <c r="C35" i="2"/>
  <c r="C37" i="2"/>
  <c r="G38" i="2"/>
  <c r="F38" i="2"/>
  <c r="E38" i="2"/>
  <c r="G37" i="2"/>
  <c r="F37" i="2"/>
  <c r="E37" i="2"/>
  <c r="G36" i="2"/>
  <c r="F36" i="2"/>
  <c r="E36" i="2"/>
  <c r="AB49" i="2"/>
  <c r="AB59" i="2" s="1"/>
  <c r="Q6" i="2"/>
  <c r="N27" i="2"/>
  <c r="N29" i="2" l="1"/>
  <c r="AC50" i="2"/>
  <c r="AC59" i="2" s="1"/>
</calcChain>
</file>

<file path=xl/sharedStrings.xml><?xml version="1.0" encoding="utf-8"?>
<sst xmlns="http://schemas.openxmlformats.org/spreadsheetml/2006/main" count="113" uniqueCount="48">
  <si>
    <t>This spreadsheet shows the calculations for matrices of the type requested by Henrique Matos.</t>
  </si>
  <si>
    <t>Henrique wants a matrix that shows for the World aggregation:</t>
  </si>
  <si>
    <t>* rows labeled as Final energy product -&gt; Sector</t>
  </si>
  <si>
    <t>* columns labeled as Final-to-useful machine -&gt; Useful energy product</t>
  </si>
  <si>
    <t>These data are available for a single country in the CL-PFU database via</t>
  </si>
  <si>
    <t>Y_vec_hat * C_Y</t>
  </si>
  <si>
    <t>Y_vec_hat is a diagonal matrix formed from the Y matrix with row and column names of Final energy carrier -&gt; Sector and Final energy carrier -&gt; Sector.</t>
  </si>
  <si>
    <t>C_Y is the allocation matrix with row names Final energy carrier -&gt; Sector and column names Machine -&gt; EU product.</t>
  </si>
  <si>
    <t>The result is a matrix with row names of Final energy carrier -&gt; Sector and column names of Machine -&gt; Eu product.</t>
  </si>
  <si>
    <t>We need to replicate the same structure but for the World, an aggregated region where the C_Y matrix is not available.</t>
  </si>
  <si>
    <t>The next tab shows how to perform that calculation.</t>
  </si>
  <si>
    <t>U_useful</t>
  </si>
  <si>
    <t>Y_final</t>
  </si>
  <si>
    <t>Aviation gasoline</t>
  </si>
  <si>
    <t>Domestic aircraft -&gt; AirP</t>
  </si>
  <si>
    <t>Biogases [from Resources]</t>
  </si>
  <si>
    <t>Manufacture [of Biogasoline]</t>
  </si>
  <si>
    <t>Domestic aviation</t>
  </si>
  <si>
    <t>Natural gas</t>
  </si>
  <si>
    <t>Ammonia synthesizers -&gt; HTH.400.C</t>
  </si>
  <si>
    <t>Gas space heaters -&gt; LTH.20.C</t>
  </si>
  <si>
    <t>Food and tobacco</t>
  </si>
  <si>
    <t>Iron and steel</t>
  </si>
  <si>
    <t>Mining and quarrying</t>
  </si>
  <si>
    <t>HPA [from Air compressors]</t>
  </si>
  <si>
    <t>Gas works</t>
  </si>
  <si>
    <t>Vectorize Y_final</t>
  </si>
  <si>
    <t>Biogases [from Resources] -&gt; Domestic aviation</t>
  </si>
  <si>
    <t>Aviation gasoline -&gt; Domestic aviation</t>
  </si>
  <si>
    <t>HPA [from Air compressors] -&gt; Domestic aviation</t>
  </si>
  <si>
    <t>Natural gas -&gt; Domestic aviation</t>
  </si>
  <si>
    <t>Biogases [from Resources] -&gt; Food and tobacco</t>
  </si>
  <si>
    <t>Aviation gasoline -&gt; Food and tobacco</t>
  </si>
  <si>
    <t>HPA [from Air compressors] -&gt; Food and tobacco</t>
  </si>
  <si>
    <t>Natural gas -&gt; Food and tobacco</t>
  </si>
  <si>
    <t>Biogases [from Resources] -&gt; Iron and steel</t>
  </si>
  <si>
    <t>Aviation gasoline -&gt; Iron and steel</t>
  </si>
  <si>
    <t>HPA [from Air compressors] -&gt; Iron and steel</t>
  </si>
  <si>
    <t>Natural gas -&gt; Iron and steel</t>
  </si>
  <si>
    <t>Biogases [from Resources] -&gt; Mining and quarrying</t>
  </si>
  <si>
    <t>Aviation gasoline -&gt; Mining and quarrying</t>
  </si>
  <si>
    <t>HPA [from Air compressors] -&gt; Mining and quarrying</t>
  </si>
  <si>
    <t>Natural gas -&gt; Mining and quarrying</t>
  </si>
  <si>
    <t>Y_final_vec</t>
  </si>
  <si>
    <t>Hatize Y_final_vec</t>
  </si>
  <si>
    <t>Y_final_vec_hat</t>
  </si>
  <si>
    <t>Aggregate rows based on the final energy carrier</t>
  </si>
  <si>
    <t>Fractionize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</si>
</sst>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rgb="FF404040"/>
      <name val="Lucida Grande"/>
      <family val="2"/>
    </font>
    <font>
      <sz val="12"/>
      <name val="Aptos Narrow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579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 textRotation="90"/>
    </xf>
    <xf numFmtId="0" fontId="0" fillId="2" borderId="0" xfId="0" applyFill="1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11" fontId="2" fillId="2" borderId="0" xfId="0" applyNumberFormat="1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0" fillId="3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3" fillId="0" borderId="0" xfId="0" applyFont="1" applyFill="1"/>
    <xf numFmtId="11" fontId="0" fillId="0" borderId="0" xfId="0" applyNumberFormat="1" applyFill="1"/>
    <xf numFmtId="0" fontId="0" fillId="0" borderId="0" xfId="0" applyFill="1" applyAlignment="1">
      <alignment horizontal="center" textRotation="90"/>
    </xf>
    <xf numFmtId="0" fontId="0" fillId="0" borderId="0" xfId="0" applyFill="1" applyAlignment="1">
      <alignment horizontal="right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5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9ED41-3BEF-9D43-8BE6-711CF2D9A5CE}">
  <dimension ref="A1:A13"/>
  <sheetViews>
    <sheetView workbookViewId="0">
      <selection activeCell="A14" sqref="A14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1" spans="1:1" x14ac:dyDescent="0.2">
      <c r="A11" t="s">
        <v>9</v>
      </c>
    </row>
    <row r="13" spans="1:1" x14ac:dyDescent="0.2">
      <c r="A1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9CA4B-2DBA-F941-8D82-AEF91B650986}">
  <dimension ref="A2:AC59"/>
  <sheetViews>
    <sheetView tabSelected="1" topLeftCell="A2" zoomScale="67" workbookViewId="0">
      <selection activeCell="AK33" sqref="AK33"/>
    </sheetView>
  </sheetViews>
  <sheetFormatPr baseColWidth="10" defaultRowHeight="16" x14ac:dyDescent="0.2"/>
  <sheetData>
    <row r="2" spans="1:17" ht="184" x14ac:dyDescent="0.2">
      <c r="C2" s="2" t="s">
        <v>19</v>
      </c>
      <c r="D2" s="2" t="s">
        <v>14</v>
      </c>
      <c r="E2" s="2" t="s">
        <v>25</v>
      </c>
      <c r="F2" s="2" t="s">
        <v>16</v>
      </c>
      <c r="G2" s="2" t="s">
        <v>20</v>
      </c>
      <c r="N2" s="2" t="s">
        <v>17</v>
      </c>
      <c r="O2" s="2" t="s">
        <v>21</v>
      </c>
      <c r="P2" s="2" t="s">
        <v>22</v>
      </c>
      <c r="Q2" s="2" t="s">
        <v>23</v>
      </c>
    </row>
    <row r="3" spans="1:17" x14ac:dyDescent="0.2">
      <c r="B3" s="1" t="s">
        <v>15</v>
      </c>
      <c r="C3" s="5">
        <v>0</v>
      </c>
      <c r="D3" s="5">
        <v>0</v>
      </c>
      <c r="E3" s="5">
        <v>0</v>
      </c>
      <c r="F3" s="5">
        <v>42239.29</v>
      </c>
      <c r="G3" s="5">
        <v>0</v>
      </c>
      <c r="I3" s="11">
        <f>SUM(C3:G3)</f>
        <v>42239.29</v>
      </c>
      <c r="M3" s="1" t="s">
        <v>15</v>
      </c>
      <c r="N3" s="3"/>
      <c r="O3" s="3"/>
      <c r="P3" s="3"/>
      <c r="Q3" s="3"/>
    </row>
    <row r="4" spans="1:17" x14ac:dyDescent="0.2">
      <c r="B4" s="1" t="s">
        <v>13</v>
      </c>
      <c r="C4" s="5">
        <v>0</v>
      </c>
      <c r="D4" s="4">
        <v>139386.79999999999</v>
      </c>
      <c r="E4" s="4">
        <v>0</v>
      </c>
      <c r="F4" s="7">
        <v>0</v>
      </c>
      <c r="G4" s="7">
        <v>0</v>
      </c>
      <c r="I4" s="11">
        <f t="shared" ref="I4:I6" si="0">SUM(C4:G4)</f>
        <v>139386.79999999999</v>
      </c>
      <c r="M4" s="1" t="s">
        <v>13</v>
      </c>
      <c r="N4" s="5">
        <v>139386.79999999999</v>
      </c>
      <c r="O4" s="3"/>
      <c r="P4" s="3"/>
      <c r="Q4" s="3"/>
    </row>
    <row r="5" spans="1:17" x14ac:dyDescent="0.2">
      <c r="B5" s="1" t="s">
        <v>24</v>
      </c>
      <c r="C5" s="5">
        <v>0</v>
      </c>
      <c r="D5" s="4">
        <v>0</v>
      </c>
      <c r="E5" s="8">
        <v>682</v>
      </c>
      <c r="F5" s="7">
        <v>0</v>
      </c>
      <c r="G5" s="7">
        <v>0</v>
      </c>
      <c r="I5" s="11">
        <f t="shared" si="0"/>
        <v>682</v>
      </c>
      <c r="M5" s="1" t="s">
        <v>24</v>
      </c>
      <c r="N5" s="5"/>
      <c r="O5" s="3"/>
      <c r="P5" s="3"/>
      <c r="Q5" s="3"/>
    </row>
    <row r="6" spans="1:17" x14ac:dyDescent="0.2">
      <c r="B6" s="1" t="s">
        <v>18</v>
      </c>
      <c r="C6" s="5">
        <v>1040318.1107</v>
      </c>
      <c r="D6" s="5">
        <v>0</v>
      </c>
      <c r="E6" s="5">
        <v>0</v>
      </c>
      <c r="F6" s="5">
        <v>0</v>
      </c>
      <c r="G6" s="5">
        <v>12767678.517000001</v>
      </c>
      <c r="I6" s="11">
        <f t="shared" si="0"/>
        <v>13807996.627700001</v>
      </c>
      <c r="M6" s="1" t="s">
        <v>18</v>
      </c>
      <c r="N6" s="3"/>
      <c r="O6" s="3">
        <f>SUM($C6:$G6)/4</f>
        <v>3451999.1569250003</v>
      </c>
      <c r="P6" s="3">
        <f>SUM($C6:$G6)/5</f>
        <v>2761599.3255400001</v>
      </c>
      <c r="Q6" s="3">
        <f>SUM(C6:G6) - SUM(N6:P6)</f>
        <v>7594398.1452350002</v>
      </c>
    </row>
    <row r="7" spans="1:17" x14ac:dyDescent="0.2">
      <c r="C7" s="6" t="s">
        <v>11</v>
      </c>
      <c r="D7" s="6"/>
      <c r="E7" s="6"/>
      <c r="F7" s="6"/>
      <c r="G7" s="6"/>
      <c r="N7" s="6" t="s">
        <v>12</v>
      </c>
      <c r="O7" s="6"/>
      <c r="P7" s="6"/>
      <c r="Q7" s="6"/>
    </row>
    <row r="10" spans="1:17" x14ac:dyDescent="0.2">
      <c r="A10" s="13"/>
      <c r="B10" s="13"/>
      <c r="C10" s="14"/>
      <c r="D10" s="13"/>
      <c r="E10" s="13"/>
      <c r="F10" s="15"/>
      <c r="G10" s="13"/>
      <c r="N10" s="9"/>
    </row>
    <row r="11" spans="1:17" x14ac:dyDescent="0.2">
      <c r="A11" s="13"/>
      <c r="B11" s="13"/>
      <c r="C11" s="16"/>
      <c r="D11" s="16"/>
      <c r="E11" s="16"/>
      <c r="F11" s="16"/>
      <c r="G11" s="13"/>
      <c r="N11" s="9"/>
    </row>
    <row r="12" spans="1:17" x14ac:dyDescent="0.2">
      <c r="A12" s="13"/>
      <c r="B12" s="17"/>
      <c r="D12" s="12"/>
      <c r="E12" s="12"/>
      <c r="F12" s="12"/>
      <c r="G12" s="13"/>
      <c r="N12" s="10" t="s">
        <v>26</v>
      </c>
    </row>
    <row r="13" spans="1:17" x14ac:dyDescent="0.2">
      <c r="A13" s="13"/>
      <c r="B13" s="17"/>
      <c r="C13" s="12"/>
      <c r="D13" s="12"/>
      <c r="E13" s="12"/>
      <c r="F13" s="12"/>
      <c r="G13" s="13"/>
    </row>
    <row r="14" spans="1:17" x14ac:dyDescent="0.2">
      <c r="A14" s="13"/>
      <c r="B14" s="17"/>
      <c r="C14" s="12"/>
      <c r="D14" s="12"/>
      <c r="E14" s="12"/>
      <c r="F14" s="12"/>
      <c r="G14" s="13"/>
      <c r="M14" s="1" t="s">
        <v>27</v>
      </c>
      <c r="N14" s="18"/>
    </row>
    <row r="15" spans="1:17" x14ac:dyDescent="0.2">
      <c r="A15" s="13"/>
      <c r="B15" s="17"/>
      <c r="C15" s="12"/>
      <c r="D15" s="12"/>
      <c r="E15" s="12"/>
      <c r="F15" s="12"/>
      <c r="G15" s="13"/>
      <c r="M15" s="1" t="s">
        <v>31</v>
      </c>
      <c r="N15" s="18"/>
    </row>
    <row r="16" spans="1:17" x14ac:dyDescent="0.2">
      <c r="A16" s="13"/>
      <c r="B16" s="17"/>
      <c r="C16" s="12"/>
      <c r="D16" s="12"/>
      <c r="E16" s="12"/>
      <c r="F16" s="12"/>
      <c r="G16" s="13"/>
      <c r="M16" s="1" t="s">
        <v>35</v>
      </c>
      <c r="N16" s="18"/>
    </row>
    <row r="17" spans="1:14" x14ac:dyDescent="0.2">
      <c r="A17" s="13"/>
      <c r="B17" s="13"/>
      <c r="C17" s="13"/>
      <c r="D17" s="13"/>
      <c r="E17" s="13"/>
      <c r="F17" s="13"/>
      <c r="G17" s="13"/>
      <c r="M17" s="1" t="s">
        <v>39</v>
      </c>
      <c r="N17" s="18"/>
    </row>
    <row r="18" spans="1:14" x14ac:dyDescent="0.2">
      <c r="M18" s="1" t="s">
        <v>28</v>
      </c>
      <c r="N18" s="11">
        <f>N4</f>
        <v>139386.79999999999</v>
      </c>
    </row>
    <row r="19" spans="1:14" x14ac:dyDescent="0.2">
      <c r="M19" s="1" t="s">
        <v>32</v>
      </c>
      <c r="N19" s="18"/>
    </row>
    <row r="20" spans="1:14" x14ac:dyDescent="0.2">
      <c r="M20" s="1" t="s">
        <v>36</v>
      </c>
      <c r="N20" s="18"/>
    </row>
    <row r="21" spans="1:14" x14ac:dyDescent="0.2">
      <c r="M21" s="1" t="s">
        <v>40</v>
      </c>
      <c r="N21" s="18"/>
    </row>
    <row r="22" spans="1:14" x14ac:dyDescent="0.2">
      <c r="M22" s="1" t="s">
        <v>29</v>
      </c>
      <c r="N22" s="18"/>
    </row>
    <row r="23" spans="1:14" x14ac:dyDescent="0.2">
      <c r="M23" s="1" t="s">
        <v>33</v>
      </c>
      <c r="N23" s="18"/>
    </row>
    <row r="24" spans="1:14" x14ac:dyDescent="0.2">
      <c r="M24" s="1" t="s">
        <v>37</v>
      </c>
      <c r="N24" s="18"/>
    </row>
    <row r="25" spans="1:14" x14ac:dyDescent="0.2">
      <c r="M25" s="1" t="s">
        <v>41</v>
      </c>
      <c r="N25" s="18"/>
    </row>
    <row r="26" spans="1:14" x14ac:dyDescent="0.2">
      <c r="M26" s="1" t="s">
        <v>30</v>
      </c>
      <c r="N26" s="18"/>
    </row>
    <row r="27" spans="1:14" x14ac:dyDescent="0.2">
      <c r="M27" s="1" t="s">
        <v>34</v>
      </c>
      <c r="N27" s="11">
        <f>O6</f>
        <v>3451999.1569250003</v>
      </c>
    </row>
    <row r="28" spans="1:14" x14ac:dyDescent="0.2">
      <c r="M28" s="1" t="s">
        <v>38</v>
      </c>
      <c r="N28" s="11">
        <f>P6</f>
        <v>2761599.3255400001</v>
      </c>
    </row>
    <row r="29" spans="1:14" x14ac:dyDescent="0.2">
      <c r="M29" s="1" t="s">
        <v>42</v>
      </c>
      <c r="N29" s="11">
        <f>Q6</f>
        <v>7594398.1452350002</v>
      </c>
    </row>
    <row r="30" spans="1:14" x14ac:dyDescent="0.2">
      <c r="N30" s="9" t="s">
        <v>43</v>
      </c>
    </row>
    <row r="32" spans="1:14" x14ac:dyDescent="0.2">
      <c r="C32" s="10" t="s">
        <v>47</v>
      </c>
      <c r="N32" s="10" t="s">
        <v>44</v>
      </c>
    </row>
    <row r="34" spans="2:29" ht="255" x14ac:dyDescent="0.2">
      <c r="C34" s="2" t="s">
        <v>19</v>
      </c>
      <c r="D34" s="2" t="s">
        <v>14</v>
      </c>
      <c r="E34" s="2" t="s">
        <v>25</v>
      </c>
      <c r="F34" s="2" t="s">
        <v>16</v>
      </c>
      <c r="G34" s="2" t="s">
        <v>20</v>
      </c>
      <c r="N34" s="2" t="s">
        <v>27</v>
      </c>
      <c r="O34" s="2" t="s">
        <v>31</v>
      </c>
      <c r="P34" s="2" t="s">
        <v>35</v>
      </c>
      <c r="Q34" s="2" t="s">
        <v>39</v>
      </c>
      <c r="R34" s="2" t="s">
        <v>28</v>
      </c>
      <c r="S34" s="2" t="s">
        <v>32</v>
      </c>
      <c r="T34" s="2" t="s">
        <v>36</v>
      </c>
      <c r="U34" s="2" t="s">
        <v>40</v>
      </c>
      <c r="V34" s="2" t="s">
        <v>29</v>
      </c>
      <c r="W34" s="2" t="s">
        <v>33</v>
      </c>
      <c r="X34" s="2" t="s">
        <v>37</v>
      </c>
      <c r="Y34" s="2" t="s">
        <v>41</v>
      </c>
      <c r="Z34" s="2" t="s">
        <v>30</v>
      </c>
      <c r="AA34" s="2" t="s">
        <v>34</v>
      </c>
      <c r="AB34" s="2" t="s">
        <v>38</v>
      </c>
      <c r="AC34" s="2" t="s">
        <v>42</v>
      </c>
    </row>
    <row r="35" spans="2:29" x14ac:dyDescent="0.2">
      <c r="B35" s="1" t="s">
        <v>15</v>
      </c>
      <c r="C35" s="11">
        <f>C3/$I3</f>
        <v>0</v>
      </c>
      <c r="D35" s="11">
        <f t="shared" ref="D35:G35" si="1">D3/$I3</f>
        <v>0</v>
      </c>
      <c r="E35" s="11">
        <f t="shared" si="1"/>
        <v>0</v>
      </c>
      <c r="F35" s="11">
        <f t="shared" si="1"/>
        <v>1</v>
      </c>
      <c r="G35" s="11">
        <f t="shared" si="1"/>
        <v>0</v>
      </c>
      <c r="M35" s="1" t="s">
        <v>27</v>
      </c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</row>
    <row r="36" spans="2:29" x14ac:dyDescent="0.2">
      <c r="B36" s="1" t="s">
        <v>13</v>
      </c>
      <c r="C36" s="11">
        <f t="shared" ref="C36:G38" si="2">C4/$I4</f>
        <v>0</v>
      </c>
      <c r="D36" s="11">
        <f t="shared" si="2"/>
        <v>1</v>
      </c>
      <c r="E36" s="11">
        <f t="shared" si="2"/>
        <v>0</v>
      </c>
      <c r="F36" s="11">
        <f t="shared" si="2"/>
        <v>0</v>
      </c>
      <c r="G36" s="11">
        <f t="shared" si="2"/>
        <v>0</v>
      </c>
      <c r="M36" s="1" t="s">
        <v>31</v>
      </c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</row>
    <row r="37" spans="2:29" x14ac:dyDescent="0.2">
      <c r="B37" s="1" t="s">
        <v>24</v>
      </c>
      <c r="C37" s="11">
        <f t="shared" si="2"/>
        <v>0</v>
      </c>
      <c r="D37" s="11">
        <f t="shared" si="2"/>
        <v>0</v>
      </c>
      <c r="E37" s="11">
        <f t="shared" si="2"/>
        <v>1</v>
      </c>
      <c r="F37" s="11">
        <f t="shared" si="2"/>
        <v>0</v>
      </c>
      <c r="G37" s="11">
        <f t="shared" si="2"/>
        <v>0</v>
      </c>
      <c r="M37" s="1" t="s">
        <v>35</v>
      </c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</row>
    <row r="38" spans="2:29" x14ac:dyDescent="0.2">
      <c r="B38" s="1" t="s">
        <v>18</v>
      </c>
      <c r="C38" s="11">
        <f t="shared" si="2"/>
        <v>7.5341712396788565E-2</v>
      </c>
      <c r="D38" s="11">
        <f t="shared" si="2"/>
        <v>0</v>
      </c>
      <c r="E38" s="11">
        <f t="shared" si="2"/>
        <v>0</v>
      </c>
      <c r="F38" s="11">
        <f t="shared" si="2"/>
        <v>0</v>
      </c>
      <c r="G38" s="11">
        <f t="shared" si="2"/>
        <v>0.92465828760321145</v>
      </c>
      <c r="M38" s="1" t="s">
        <v>39</v>
      </c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</row>
    <row r="39" spans="2:29" x14ac:dyDescent="0.2">
      <c r="M39" s="1" t="s">
        <v>28</v>
      </c>
      <c r="N39" s="18"/>
      <c r="O39" s="18"/>
      <c r="P39" s="18"/>
      <c r="Q39" s="18"/>
      <c r="R39" s="11">
        <f>N4</f>
        <v>139386.79999999999</v>
      </c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</row>
    <row r="40" spans="2:29" x14ac:dyDescent="0.2">
      <c r="M40" s="1" t="s">
        <v>32</v>
      </c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</row>
    <row r="41" spans="2:29" x14ac:dyDescent="0.2">
      <c r="M41" s="1" t="s">
        <v>36</v>
      </c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</row>
    <row r="42" spans="2:29" x14ac:dyDescent="0.2">
      <c r="M42" s="1" t="s">
        <v>40</v>
      </c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</row>
    <row r="43" spans="2:29" x14ac:dyDescent="0.2">
      <c r="M43" s="1" t="s">
        <v>29</v>
      </c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</row>
    <row r="44" spans="2:29" x14ac:dyDescent="0.2">
      <c r="M44" s="1" t="s">
        <v>33</v>
      </c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</row>
    <row r="45" spans="2:29" x14ac:dyDescent="0.2">
      <c r="M45" s="1" t="s">
        <v>37</v>
      </c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</row>
    <row r="46" spans="2:29" x14ac:dyDescent="0.2">
      <c r="M46" s="1" t="s">
        <v>41</v>
      </c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</row>
    <row r="47" spans="2:29" x14ac:dyDescent="0.2">
      <c r="M47" s="1" t="s">
        <v>30</v>
      </c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</row>
    <row r="48" spans="2:29" x14ac:dyDescent="0.2">
      <c r="M48" s="1" t="s">
        <v>34</v>
      </c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>
        <f>O6</f>
        <v>3451999.1569250003</v>
      </c>
      <c r="AB48" s="18"/>
      <c r="AC48" s="18"/>
    </row>
    <row r="49" spans="13:29" x14ac:dyDescent="0.2">
      <c r="M49" s="1" t="s">
        <v>38</v>
      </c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>
        <f>P6</f>
        <v>2761599.3255400001</v>
      </c>
      <c r="AC49" s="18"/>
    </row>
    <row r="50" spans="13:29" x14ac:dyDescent="0.2">
      <c r="M50" s="1" t="s">
        <v>42</v>
      </c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>
        <f>Q6</f>
        <v>7594398.1452350002</v>
      </c>
    </row>
    <row r="51" spans="13:29" x14ac:dyDescent="0.2">
      <c r="N51" s="6" t="s">
        <v>45</v>
      </c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3" spans="13:29" x14ac:dyDescent="0.2">
      <c r="N53" s="10" t="s">
        <v>46</v>
      </c>
    </row>
    <row r="55" spans="13:29" ht="255" x14ac:dyDescent="0.2">
      <c r="N55" s="2" t="s">
        <v>27</v>
      </c>
      <c r="O55" s="2" t="s">
        <v>31</v>
      </c>
      <c r="P55" s="2" t="s">
        <v>35</v>
      </c>
      <c r="Q55" s="2" t="s">
        <v>39</v>
      </c>
      <c r="R55" s="2" t="s">
        <v>28</v>
      </c>
      <c r="S55" s="2" t="s">
        <v>32</v>
      </c>
      <c r="T55" s="2" t="s">
        <v>36</v>
      </c>
      <c r="U55" s="2" t="s">
        <v>40</v>
      </c>
      <c r="V55" s="2" t="s">
        <v>29</v>
      </c>
      <c r="W55" s="2" t="s">
        <v>33</v>
      </c>
      <c r="X55" s="2" t="s">
        <v>37</v>
      </c>
      <c r="Y55" s="2" t="s">
        <v>41</v>
      </c>
      <c r="Z55" s="2" t="s">
        <v>30</v>
      </c>
      <c r="AA55" s="2" t="s">
        <v>34</v>
      </c>
      <c r="AB55" s="2" t="s">
        <v>38</v>
      </c>
      <c r="AC55" s="2" t="s">
        <v>42</v>
      </c>
    </row>
    <row r="56" spans="13:29" x14ac:dyDescent="0.2">
      <c r="M56" s="1" t="s">
        <v>15</v>
      </c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</row>
    <row r="57" spans="13:29" x14ac:dyDescent="0.2">
      <c r="M57" s="1" t="s">
        <v>13</v>
      </c>
      <c r="N57" s="18"/>
      <c r="O57" s="18"/>
      <c r="P57" s="18"/>
      <c r="Q57" s="18"/>
      <c r="R57" s="18">
        <f>R39</f>
        <v>139386.79999999999</v>
      </c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</row>
    <row r="58" spans="13:29" x14ac:dyDescent="0.2">
      <c r="M58" s="1" t="s">
        <v>24</v>
      </c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</row>
    <row r="59" spans="13:29" x14ac:dyDescent="0.2">
      <c r="M59" s="1" t="s">
        <v>18</v>
      </c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>
        <f>AA48</f>
        <v>3451999.1569250003</v>
      </c>
      <c r="AB59" s="18">
        <f>AB49</f>
        <v>2761599.3255400001</v>
      </c>
      <c r="AC59" s="18">
        <f>AC50</f>
        <v>7594398.1452350002</v>
      </c>
    </row>
  </sheetData>
  <mergeCells count="3">
    <mergeCell ref="C7:G7"/>
    <mergeCell ref="N7:Q7"/>
    <mergeCell ref="N51:AC51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Example 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Heun</dc:creator>
  <cp:lastModifiedBy>Matthew Heun</cp:lastModifiedBy>
  <dcterms:created xsi:type="dcterms:W3CDTF">2026-06-09T14:49:00Z</dcterms:created>
  <dcterms:modified xsi:type="dcterms:W3CDTF">2026-06-09T18:15:41Z</dcterms:modified>
</cp:coreProperties>
</file>