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Desktop/"/>
    </mc:Choice>
  </mc:AlternateContent>
  <xr:revisionPtr revIDLastSave="0" documentId="13_ncr:1_{64A72A8A-E4AD-3046-AFD1-9BE081DD5AB0}" xr6:coauthVersionLast="47" xr6:coauthVersionMax="47" xr10:uidLastSave="{00000000-0000-0000-0000-000000000000}"/>
  <bookViews>
    <workbookView xWindow="14500" yWindow="1460" windowWidth="38800" windowHeight="32240" xr2:uid="{E3FBF7D3-35F9-5F47-BC89-7EE12E6EED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2" i="1" l="1" a="1"/>
  <c r="N22" i="1" s="1"/>
  <c r="E11" i="1"/>
  <c r="F11" i="1"/>
  <c r="D11" i="1"/>
  <c r="P15" i="1"/>
  <c r="O14" i="1"/>
  <c r="N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<sst xmlns="http://schemas.openxmlformats.org/spreadsheetml/2006/main" count="22" uniqueCount="12">
  <si>
    <t>Other kerosene -&gt; Residential</t>
  </si>
  <si>
    <t>Y_f_hat</t>
  </si>
  <si>
    <t>Y_f_hat_inv</t>
  </si>
  <si>
    <t>Other kerosene</t>
  </si>
  <si>
    <t>LPG stoves -&gt; LTH.20.C</t>
  </si>
  <si>
    <t>LPG stoves -&gt; LTH.100.C</t>
  </si>
  <si>
    <t>LPG stoves -&gt; LTH.200.C</t>
  </si>
  <si>
    <t>U_useful</t>
  </si>
  <si>
    <t>C_Y</t>
  </si>
  <si>
    <t>Won't work to simply expand the rownames</t>
  </si>
  <si>
    <t>if Y_f has 2 sectors where Other kerosene is used.</t>
  </si>
  <si>
    <t>Example: Fuel 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</si>
</sst>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textRotation="90"/>
    </xf>
    <xf numFmtId="0" fontId="0" fillId="0" borderId="0" xfId="0" applyFill="1" applyAlignment="1">
      <alignment horizontal="center" textRotation="90"/>
    </xf>
    <xf numFmtId="0" fontId="0" fillId="0" borderId="0" xfId="0" applyFill="1"/>
    <xf numFmtId="0" fontId="0" fillId="0" borderId="0" xfId="0" applyFill="1" applyAlignment="1">
      <alignment horizontal="righ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ADD0-4E92-B848-B1AB-B529554CD38F}">
  <dimension ref="A6:P28"/>
  <sheetViews>
    <sheetView tabSelected="1" workbookViewId="0">
      <selection activeCell="D17" sqref="D17"/>
    </sheetView>
  </sheetViews>
  <sheetFormatPr baseColWidth="10" defaultRowHeight="16" x14ac:dyDescent="0.2"/>
  <sheetData>
    <row r="6" spans="3:16" ht="152" x14ac:dyDescent="0.2">
      <c r="D6" s="2" t="s">
        <v>4</v>
      </c>
      <c r="E6" s="2" t="s">
        <v>5</v>
      </c>
      <c r="F6" s="2" t="s">
        <v>6</v>
      </c>
      <c r="N6" s="2" t="s">
        <v>0</v>
      </c>
      <c r="O6" s="2" t="s">
        <v>0</v>
      </c>
      <c r="P6" s="2" t="s">
        <v>0</v>
      </c>
    </row>
    <row r="7" spans="3:16" x14ac:dyDescent="0.2">
      <c r="C7" s="1" t="s">
        <v>3</v>
      </c>
      <c r="D7" s="3">
        <v>2592.527</v>
      </c>
      <c r="E7" s="3">
        <v>725.59130000000005</v>
      </c>
      <c r="F7" s="3">
        <v>185.88130000000001</v>
      </c>
      <c r="M7" s="1" t="s">
        <v>0</v>
      </c>
      <c r="N7" s="3">
        <v>3504</v>
      </c>
      <c r="O7" s="3">
        <v>0</v>
      </c>
      <c r="P7" s="3">
        <v>0</v>
      </c>
    </row>
    <row r="8" spans="3:16" x14ac:dyDescent="0.2">
      <c r="D8" s="4" t="s">
        <v>7</v>
      </c>
      <c r="E8" s="4"/>
      <c r="F8" s="4"/>
      <c r="M8" s="1" t="s">
        <v>0</v>
      </c>
      <c r="N8" s="3">
        <v>0</v>
      </c>
      <c r="O8" s="3">
        <v>3504</v>
      </c>
      <c r="P8" s="3">
        <v>0</v>
      </c>
    </row>
    <row r="9" spans="3:16" x14ac:dyDescent="0.2">
      <c r="M9" s="1" t="s">
        <v>0</v>
      </c>
      <c r="N9" s="3">
        <v>0</v>
      </c>
      <c r="O9" s="3">
        <v>0</v>
      </c>
      <c r="P9" s="3">
        <v>3504</v>
      </c>
    </row>
    <row r="10" spans="3:16" x14ac:dyDescent="0.2">
      <c r="N10" s="4" t="s">
        <v>1</v>
      </c>
      <c r="O10" s="4"/>
      <c r="P10" s="4"/>
    </row>
    <row r="11" spans="3:16" x14ac:dyDescent="0.2">
      <c r="C11" s="1" t="s">
        <v>0</v>
      </c>
      <c r="D11" s="3">
        <f>D7</f>
        <v>2592.527</v>
      </c>
      <c r="E11" s="3">
        <f t="shared" ref="E11:F11" si="0">E7</f>
        <v>725.59130000000005</v>
      </c>
      <c r="F11" s="3">
        <f t="shared" si="0"/>
        <v>185.88130000000001</v>
      </c>
    </row>
    <row r="12" spans="3:16" x14ac:dyDescent="0.2">
      <c r="D12" s="4" t="s">
        <v>7</v>
      </c>
      <c r="E12" s="4"/>
      <c r="F12" s="4"/>
    </row>
    <row r="13" spans="3:16" x14ac:dyDescent="0.2">
      <c r="M13" s="1" t="s">
        <v>0</v>
      </c>
      <c r="N13" s="3">
        <f>1/N7</f>
        <v>2.8538812785388126E-4</v>
      </c>
      <c r="O13" s="3">
        <v>0</v>
      </c>
      <c r="P13" s="3">
        <v>0</v>
      </c>
    </row>
    <row r="14" spans="3:16" x14ac:dyDescent="0.2">
      <c r="D14" t="s">
        <v>9</v>
      </c>
      <c r="M14" s="1" t="s">
        <v>0</v>
      </c>
      <c r="N14" s="3">
        <v>0</v>
      </c>
      <c r="O14" s="3">
        <f>1/O8</f>
        <v>2.8538812785388126E-4</v>
      </c>
      <c r="P14" s="3">
        <v>0</v>
      </c>
    </row>
    <row r="15" spans="3:16" x14ac:dyDescent="0.2">
      <c r="D15" t="s">
        <v>10</v>
      </c>
      <c r="M15" s="1" t="s">
        <v>0</v>
      </c>
      <c r="N15" s="3">
        <v>0</v>
      </c>
      <c r="O15" s="3">
        <v>0</v>
      </c>
      <c r="P15" s="3">
        <f>1/P9</f>
        <v>2.8538812785388126E-4</v>
      </c>
    </row>
    <row r="16" spans="3:16" x14ac:dyDescent="0.2">
      <c r="D16" t="s">
        <v>11</v>
      </c>
      <c r="N16" s="4" t="s">
        <v>2</v>
      </c>
      <c r="O16" s="4"/>
      <c r="P16" s="4"/>
    </row>
    <row r="19" spans="1:16" x14ac:dyDescent="0.2">
      <c r="C19" s="1"/>
      <c r="D19" s="6"/>
      <c r="E19" s="6"/>
      <c r="F19" s="6"/>
    </row>
    <row r="20" spans="1:16" x14ac:dyDescent="0.2">
      <c r="A20" s="9"/>
      <c r="B20" s="9"/>
      <c r="C20" s="10"/>
      <c r="D20" s="8"/>
      <c r="E20" s="7"/>
      <c r="F20" s="7"/>
      <c r="G20" s="9"/>
      <c r="H20" s="9"/>
    </row>
    <row r="21" spans="1:16" x14ac:dyDescent="0.2">
      <c r="A21" s="9"/>
      <c r="B21" s="9"/>
      <c r="C21" s="10"/>
      <c r="D21" s="6"/>
      <c r="E21" s="6"/>
      <c r="F21" s="6"/>
      <c r="G21" s="9"/>
      <c r="H21" s="9"/>
    </row>
    <row r="22" spans="1:16" x14ac:dyDescent="0.2">
      <c r="A22" s="9"/>
      <c r="B22" s="9"/>
      <c r="C22" s="10"/>
      <c r="D22" s="6"/>
      <c r="E22" s="9"/>
      <c r="F22" s="9"/>
      <c r="G22" s="9"/>
      <c r="H22" s="9"/>
      <c r="N22" s="5" cm="1">
        <f t="array" ref="N22:P22">MMULT(D11:F11, N13:P15)</f>
        <v>0.73987642694063926</v>
      </c>
      <c r="O22" s="5">
        <v>0.20707514269406394</v>
      </c>
      <c r="P22" s="5">
        <v>5.304831621004566E-2</v>
      </c>
    </row>
    <row r="23" spans="1:16" x14ac:dyDescent="0.2">
      <c r="A23" s="9"/>
      <c r="B23" s="9"/>
      <c r="C23" s="10"/>
      <c r="D23" s="6"/>
      <c r="E23" s="9"/>
      <c r="F23" s="9"/>
      <c r="G23" s="9"/>
      <c r="H23" s="9"/>
      <c r="N23" s="4" t="s">
        <v>8</v>
      </c>
      <c r="O23" s="4"/>
      <c r="P23" s="4"/>
    </row>
    <row r="24" spans="1:16" x14ac:dyDescent="0.2">
      <c r="A24" s="9"/>
      <c r="B24" s="9"/>
      <c r="C24" s="9"/>
      <c r="D24" s="11"/>
      <c r="E24" s="9"/>
      <c r="F24" s="9"/>
      <c r="G24" s="9"/>
      <c r="H24" s="9"/>
    </row>
    <row r="25" spans="1:16" x14ac:dyDescent="0.2">
      <c r="A25" s="9"/>
      <c r="B25" s="9"/>
      <c r="C25" s="9"/>
      <c r="D25" s="9"/>
      <c r="E25" s="9"/>
      <c r="F25" s="9"/>
      <c r="G25" s="9"/>
      <c r="H25" s="9"/>
    </row>
    <row r="26" spans="1:16" x14ac:dyDescent="0.2">
      <c r="A26" s="9"/>
      <c r="B26" s="9"/>
      <c r="C26" s="9"/>
      <c r="D26" s="9"/>
      <c r="E26" s="9"/>
      <c r="F26" s="9"/>
      <c r="G26" s="9"/>
      <c r="H26" s="9"/>
    </row>
    <row r="27" spans="1:16" x14ac:dyDescent="0.2">
      <c r="A27" s="9"/>
      <c r="B27" s="9"/>
      <c r="C27" s="9"/>
      <c r="D27" s="9"/>
      <c r="E27" s="9"/>
      <c r="F27" s="9"/>
      <c r="G27" s="9"/>
      <c r="H27" s="9"/>
    </row>
    <row r="28" spans="1:16" x14ac:dyDescent="0.2">
      <c r="A28" s="9"/>
      <c r="B28" s="9"/>
      <c r="C28" s="9"/>
      <c r="D28" s="9"/>
      <c r="E28" s="9"/>
      <c r="F28" s="9"/>
      <c r="G28" s="9"/>
      <c r="H28" s="9"/>
    </row>
  </sheetData>
  <mergeCells count="5">
    <mergeCell ref="N10:P10"/>
    <mergeCell ref="N16:P16"/>
    <mergeCell ref="D8:F8"/>
    <mergeCell ref="D12:F12"/>
    <mergeCell ref="N23:P2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2026-09-27T20:46:46Z</dcterms:created>
  <dcterms:modified xsi:type="dcterms:W3CDTF">2026-09-27T21:05:43Z</dcterms:modified>
</cp:coreProperties>
</file>