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h2/github/PFUPipeline2/report_scripts/Matos Henrique/"/>
    </mc:Choice>
  </mc:AlternateContent>
  <xr:revisionPtr revIDLastSave="0" documentId="13_ncr:1_{EE115ACB-70F1-5B47-9225-B0F1EFB41446}" xr6:coauthVersionLast="47" xr6:coauthVersionMax="47" xr10:uidLastSave="{00000000-0000-0000-0000-000000000000}"/>
  <bookViews>
    <workbookView xWindow="20" yWindow="600" windowWidth="61440" windowHeight="33940" xr2:uid="{B1CCFE98-CF9C-154F-ADEE-F9D4FC34BD6E}"/>
  </bookViews>
  <sheets>
    <sheet name="PSB &amp; Charco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D277" i="1" l="1" a="1"/>
  <c r="AX240" i="1" a="1"/>
  <c r="Z309" i="1"/>
  <c r="X308" i="1"/>
  <c r="W307" i="1"/>
  <c r="R306" i="1"/>
  <c r="G305" i="1"/>
  <c r="E304" i="1"/>
  <c r="D303" i="1"/>
  <c r="Y302" i="1"/>
  <c r="V301" i="1"/>
  <c r="Q300" i="1"/>
  <c r="Y299" i="1"/>
  <c r="V298" i="1"/>
  <c r="Q297" i="1"/>
  <c r="U296" i="1"/>
  <c r="U295" i="1"/>
  <c r="Z279" i="1"/>
  <c r="W278" i="1"/>
  <c r="R277" i="1"/>
  <c r="AH272" i="1"/>
  <c r="AG271" i="1"/>
  <c r="AF270" i="1"/>
  <c r="AE269" i="1"/>
  <c r="AD268" i="1"/>
  <c r="AC267" i="1"/>
  <c r="AB266" i="1"/>
  <c r="AA265" i="1"/>
  <c r="Z264" i="1"/>
  <c r="Y263" i="1"/>
  <c r="X262" i="1"/>
  <c r="W261" i="1"/>
  <c r="V260" i="1"/>
  <c r="U259" i="1"/>
  <c r="T258" i="1"/>
  <c r="S257" i="1"/>
  <c r="R256" i="1"/>
  <c r="Q255" i="1"/>
  <c r="P254" i="1"/>
  <c r="O253" i="1"/>
  <c r="N252" i="1"/>
  <c r="M251" i="1"/>
  <c r="L250" i="1"/>
  <c r="K249" i="1"/>
  <c r="J248" i="1"/>
  <c r="I247" i="1"/>
  <c r="H246" i="1"/>
  <c r="G245" i="1"/>
  <c r="F244" i="1"/>
  <c r="E243" i="1"/>
  <c r="D242" i="1"/>
  <c r="C241" i="1"/>
  <c r="B240" i="1"/>
  <c r="B236" i="1"/>
  <c r="B23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B185" i="1"/>
  <c r="M9" i="1"/>
  <c r="U9" i="1" s="1"/>
  <c r="L8" i="1"/>
  <c r="T8" i="1" s="1"/>
  <c r="K7" i="1"/>
  <c r="S7" i="1" s="1"/>
  <c r="J6" i="1"/>
  <c r="AK101" i="1"/>
  <c r="AJ100" i="1"/>
  <c r="AG97" i="1"/>
  <c r="AF96" i="1"/>
  <c r="AE95" i="1"/>
  <c r="AD94" i="1"/>
  <c r="AC93" i="1"/>
  <c r="AB92" i="1"/>
  <c r="Z90" i="1"/>
  <c r="Y89" i="1"/>
  <c r="X88" i="1"/>
  <c r="W87" i="1"/>
  <c r="V86" i="1"/>
  <c r="U85" i="1"/>
  <c r="T84" i="1"/>
  <c r="S83" i="1"/>
  <c r="R82" i="1"/>
  <c r="P80" i="1"/>
  <c r="M77" i="1"/>
  <c r="L76" i="1"/>
  <c r="F42" i="1" a="1"/>
  <c r="AI42" i="1" s="1"/>
  <c r="C9" i="1"/>
  <c r="C13" i="1" s="1"/>
  <c r="C20" i="1" s="1"/>
  <c r="C27" i="1" s="1"/>
  <c r="B9" i="1"/>
  <c r="B14" i="1" s="1"/>
  <c r="D21" i="1" s="1"/>
  <c r="C191" i="1" l="1"/>
  <c r="C195" i="1"/>
  <c r="C197" i="1"/>
  <c r="C194" i="1"/>
  <c r="C192" i="1"/>
  <c r="C193" i="1"/>
  <c r="C196" i="1"/>
  <c r="D191" i="1"/>
  <c r="D195" i="1"/>
  <c r="D196" i="1"/>
  <c r="D193" i="1"/>
  <c r="D197" i="1"/>
  <c r="D192" i="1"/>
  <c r="D194" i="1"/>
  <c r="E194" i="1"/>
  <c r="E192" i="1"/>
  <c r="E193" i="1"/>
  <c r="E196" i="1"/>
  <c r="E197" i="1"/>
  <c r="E191" i="1"/>
  <c r="E195" i="1"/>
  <c r="F195" i="1"/>
  <c r="F194" i="1"/>
  <c r="F191" i="1"/>
  <c r="F192" i="1"/>
  <c r="F193" i="1"/>
  <c r="F196" i="1"/>
  <c r="F197" i="1"/>
  <c r="G197" i="1"/>
  <c r="G194" i="1"/>
  <c r="G192" i="1"/>
  <c r="G191" i="1"/>
  <c r="G196" i="1"/>
  <c r="G195" i="1"/>
  <c r="G193" i="1"/>
  <c r="H192" i="1"/>
  <c r="H196" i="1"/>
  <c r="H193" i="1"/>
  <c r="H191" i="1"/>
  <c r="H197" i="1"/>
  <c r="H194" i="1"/>
  <c r="H195" i="1"/>
  <c r="I191" i="1"/>
  <c r="I193" i="1"/>
  <c r="I192" i="1"/>
  <c r="I197" i="1"/>
  <c r="I194" i="1"/>
  <c r="I196" i="1"/>
  <c r="I195" i="1"/>
  <c r="J193" i="1"/>
  <c r="J197" i="1"/>
  <c r="J196" i="1"/>
  <c r="J194" i="1"/>
  <c r="J192" i="1"/>
  <c r="J191" i="1"/>
  <c r="J195" i="1"/>
  <c r="K192" i="1"/>
  <c r="K193" i="1"/>
  <c r="K194" i="1"/>
  <c r="K197" i="1"/>
  <c r="K196" i="1"/>
  <c r="K191" i="1"/>
  <c r="K195" i="1"/>
  <c r="L197" i="1"/>
  <c r="L191" i="1"/>
  <c r="L194" i="1"/>
  <c r="L196" i="1"/>
  <c r="L192" i="1"/>
  <c r="L193" i="1"/>
  <c r="L195" i="1"/>
  <c r="M193" i="1"/>
  <c r="M194" i="1"/>
  <c r="M197" i="1"/>
  <c r="M196" i="1"/>
  <c r="M192" i="1"/>
  <c r="M195" i="1"/>
  <c r="M191" i="1"/>
  <c r="N197" i="1"/>
  <c r="N192" i="1"/>
  <c r="N195" i="1"/>
  <c r="N193" i="1"/>
  <c r="N191" i="1"/>
  <c r="N194" i="1"/>
  <c r="N196" i="1"/>
  <c r="O197" i="1"/>
  <c r="O196" i="1"/>
  <c r="O193" i="1"/>
  <c r="O194" i="1"/>
  <c r="O191" i="1"/>
  <c r="O195" i="1"/>
  <c r="O192" i="1"/>
  <c r="P191" i="1"/>
  <c r="P192" i="1"/>
  <c r="P193" i="1"/>
  <c r="P195" i="1"/>
  <c r="P196" i="1"/>
  <c r="P194" i="1"/>
  <c r="P197" i="1"/>
  <c r="Q196" i="1"/>
  <c r="B227" i="1" s="1"/>
  <c r="Q191" i="1"/>
  <c r="Q197" i="1"/>
  <c r="Q193" i="1"/>
  <c r="Q195" i="1"/>
  <c r="B224" i="1" s="1"/>
  <c r="Q194" i="1"/>
  <c r="Q192" i="1"/>
  <c r="R192" i="1"/>
  <c r="R194" i="1"/>
  <c r="R191" i="1"/>
  <c r="B204" i="1" s="1"/>
  <c r="R195" i="1"/>
  <c r="R193" i="1"/>
  <c r="R197" i="1"/>
  <c r="B233" i="1" s="1"/>
  <c r="R196" i="1"/>
  <c r="S196" i="1"/>
  <c r="S193" i="1"/>
  <c r="S195" i="1"/>
  <c r="S197" i="1"/>
  <c r="S194" i="1"/>
  <c r="S192" i="1"/>
  <c r="S191" i="1"/>
  <c r="T193" i="1"/>
  <c r="T192" i="1"/>
  <c r="T191" i="1"/>
  <c r="T196" i="1"/>
  <c r="T194" i="1"/>
  <c r="T195" i="1"/>
  <c r="T197" i="1"/>
  <c r="U191" i="1"/>
  <c r="U196" i="1"/>
  <c r="U193" i="1"/>
  <c r="B222" i="1" s="1"/>
  <c r="U192" i="1"/>
  <c r="U195" i="1"/>
  <c r="U197" i="1"/>
  <c r="U194" i="1"/>
  <c r="B223" i="1" s="1"/>
  <c r="V194" i="1"/>
  <c r="V191" i="1"/>
  <c r="V193" i="1"/>
  <c r="V192" i="1"/>
  <c r="V195" i="1"/>
  <c r="B225" i="1" s="1"/>
  <c r="V196" i="1"/>
  <c r="B228" i="1" s="1"/>
  <c r="V197" i="1"/>
  <c r="W194" i="1"/>
  <c r="W195" i="1"/>
  <c r="W191" i="1"/>
  <c r="B205" i="1" s="1"/>
  <c r="W197" i="1"/>
  <c r="B234" i="1" s="1"/>
  <c r="W192" i="1"/>
  <c r="W196" i="1"/>
  <c r="W193" i="1"/>
  <c r="X192" i="1"/>
  <c r="X193" i="1"/>
  <c r="X196" i="1"/>
  <c r="X191" i="1"/>
  <c r="X195" i="1"/>
  <c r="X197" i="1"/>
  <c r="X194" i="1"/>
  <c r="Y194" i="1"/>
  <c r="Y192" i="1"/>
  <c r="Y193" i="1"/>
  <c r="Y197" i="1"/>
  <c r="Y191" i="1"/>
  <c r="Y195" i="1"/>
  <c r="B226" i="1" s="1"/>
  <c r="Y196" i="1"/>
  <c r="B229" i="1" s="1"/>
  <c r="Z195" i="1"/>
  <c r="Z191" i="1"/>
  <c r="B206" i="1" s="1"/>
  <c r="Z197" i="1"/>
  <c r="Z196" i="1"/>
  <c r="Z193" i="1"/>
  <c r="Z192" i="1"/>
  <c r="Z194" i="1"/>
  <c r="AA195" i="1"/>
  <c r="AA194" i="1"/>
  <c r="AA192" i="1"/>
  <c r="AA193" i="1"/>
  <c r="AA197" i="1"/>
  <c r="AA196" i="1"/>
  <c r="AA191" i="1"/>
  <c r="B191" i="1"/>
  <c r="B197" i="1"/>
  <c r="B192" i="1"/>
  <c r="B194" i="1"/>
  <c r="B195" i="1"/>
  <c r="B196" i="1"/>
  <c r="B193" i="1"/>
  <c r="BA42" i="1"/>
  <c r="BF43" i="1"/>
  <c r="BH42" i="1"/>
  <c r="BC43" i="1"/>
  <c r="AM42" i="1"/>
  <c r="BB43" i="1"/>
  <c r="AR43" i="1"/>
  <c r="AV43" i="1"/>
  <c r="AX42" i="1"/>
  <c r="AN42" i="1"/>
  <c r="AW42" i="1"/>
  <c r="AN43" i="1"/>
  <c r="AQ42" i="1"/>
  <c r="AS43" i="1"/>
  <c r="BG42" i="1"/>
  <c r="BF42" i="1"/>
  <c r="AV42" i="1"/>
  <c r="AL42" i="1"/>
  <c r="BA43" i="1"/>
  <c r="AQ43" i="1"/>
  <c r="BE42" i="1"/>
  <c r="AU42" i="1"/>
  <c r="AK42" i="1"/>
  <c r="AZ43" i="1"/>
  <c r="AP43" i="1"/>
  <c r="BD42" i="1"/>
  <c r="AT42" i="1"/>
  <c r="AJ42" i="1"/>
  <c r="AY43" i="1"/>
  <c r="AO43" i="1"/>
  <c r="BC42" i="1"/>
  <c r="AS42" i="1"/>
  <c r="BH43" i="1"/>
  <c r="AX43" i="1"/>
  <c r="BB42" i="1"/>
  <c r="AR42" i="1"/>
  <c r="BG43" i="1"/>
  <c r="AW43" i="1"/>
  <c r="AM43" i="1"/>
  <c r="AL43" i="1"/>
  <c r="AK43" i="1"/>
  <c r="AZ42" i="1"/>
  <c r="AP42" i="1"/>
  <c r="BE43" i="1"/>
  <c r="AU43" i="1"/>
  <c r="AY42" i="1"/>
  <c r="AO42" i="1"/>
  <c r="BD43" i="1"/>
  <c r="AT43" i="1"/>
  <c r="AJ43" i="1"/>
  <c r="AI43" i="1"/>
  <c r="C14" i="1"/>
  <c r="E22" i="1" s="1"/>
  <c r="C29" i="1" s="1"/>
  <c r="B13" i="1"/>
  <c r="BK42" i="1" l="1" a="1"/>
  <c r="CD43" i="1" l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CJ42" i="1"/>
  <c r="CI42" i="1"/>
  <c r="CH42" i="1"/>
  <c r="CG42" i="1"/>
  <c r="CF42" i="1"/>
  <c r="CE42" i="1"/>
  <c r="CD42" i="1"/>
  <c r="CC42" i="1"/>
  <c r="BS42" i="1"/>
  <c r="BR42" i="1"/>
  <c r="BQ42" i="1"/>
  <c r="BP42" i="1"/>
  <c r="BO42" i="1"/>
  <c r="BN42" i="1"/>
  <c r="BM42" i="1"/>
  <c r="BL42" i="1"/>
  <c r="BK42" i="1"/>
  <c r="CJ43" i="1"/>
  <c r="CI43" i="1"/>
  <c r="CH43" i="1"/>
  <c r="CG43" i="1"/>
  <c r="CF43" i="1"/>
  <c r="CE43" i="1"/>
  <c r="CB42" i="1"/>
  <c r="CA42" i="1"/>
  <c r="BZ42" i="1"/>
  <c r="BY42" i="1"/>
  <c r="BX42" i="1"/>
  <c r="BW42" i="1"/>
  <c r="BV42" i="1"/>
  <c r="BU42" i="1"/>
  <c r="BT42" i="1"/>
  <c r="CO42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<sst xmlns="http://schemas.openxmlformats.org/spreadsheetml/2006/main" count="675" uniqueCount="182">
  <si>
    <t>Electric cars -&gt; RoP</t>
  </si>
  <si>
    <t>Paper dryers -&gt; MTH.130.C</t>
  </si>
  <si>
    <t>Static diesel engines -&gt; MD</t>
  </si>
  <si>
    <t>Machine tools -&gt; MacW</t>
  </si>
  <si>
    <t>HVAC -&gt; LTC.20.C</t>
  </si>
  <si>
    <t>Industrial refrigerators -&gt; LTC.-10.C</t>
  </si>
  <si>
    <t>Industrial electric lamps -&gt; L</t>
  </si>
  <si>
    <t>Industrial fans -&gt; KE</t>
  </si>
  <si>
    <t>Computers -&gt; IP</t>
  </si>
  <si>
    <t>Electro-chemical processors -&gt; HTH.960.C</t>
  </si>
  <si>
    <t>Steam cracking furnaces -&gt; HTH.850.C</t>
  </si>
  <si>
    <t>Industrial electric process heaters -&gt; HTH.600.C</t>
  </si>
  <si>
    <t>Clinker kilns -&gt; HTH.1200.C</t>
  </si>
  <si>
    <t>Electric pumps -&gt; HPL</t>
  </si>
  <si>
    <t>Air compressors -&gt; HPA</t>
  </si>
  <si>
    <t>Containing all columns in Y_f</t>
  </si>
  <si>
    <t>Y_u</t>
  </si>
  <si>
    <t>RoP [from Electric cars]</t>
  </si>
  <si>
    <t>MTH.130.C [from Paper dryers]</t>
  </si>
  <si>
    <t>MD [from Static diesel engines]</t>
  </si>
  <si>
    <t>MacW [from Material handlers]</t>
  </si>
  <si>
    <t>MacW [from Machine tools]</t>
  </si>
  <si>
    <t>LTC.20.C [from HVAC]</t>
  </si>
  <si>
    <t>LTC.-10.C [from Industrial refrigerators]</t>
  </si>
  <si>
    <t>L [from Industrial electric lamps]</t>
  </si>
  <si>
    <t>KE [from Industrial fans]</t>
  </si>
  <si>
    <t>IP [from Computers]</t>
  </si>
  <si>
    <t>HTH.960.C [from Electro-chemical processors]</t>
  </si>
  <si>
    <t>Y_u_T</t>
  </si>
  <si>
    <t>HTH.850.C [from Steam cracking furnaces]</t>
  </si>
  <si>
    <t>HTH.600.C [from Industrial electric process heaters]</t>
  </si>
  <si>
    <t>HTH.1800.C [from Blast oxygen furnaces]</t>
  </si>
  <si>
    <t>HTH.1200.C [from Clinker kilns]</t>
  </si>
  <si>
    <t>HPL [from Electric pumps]</t>
  </si>
  <si>
    <t>HPA [from Air compressors]</t>
  </si>
  <si>
    <t xml:space="preserve">                                      notation = RCLabels::arrow_notation)</t>
  </si>
  <si>
    <t xml:space="preserve">                                      margin = 2, </t>
  </si>
  <si>
    <t xml:space="preserve">  matsbyname::aggregate_pieces_byname(piece = "suff", </t>
  </si>
  <si>
    <t xml:space="preserve">  matsbyname::hatize_byname() |&gt;</t>
  </si>
  <si>
    <t xml:space="preserve">  matsbyname::vectorize_byname(notation = RCLabels::arrow_notation) |&gt;</t>
  </si>
  <si>
    <t xml:space="preserve">  matsbyname::fractionize_byname(margin = 2) |&gt; </t>
  </si>
  <si>
    <t>Y_f_special</t>
  </si>
  <si>
    <t>Charcoal -&gt; Residential</t>
  </si>
  <si>
    <t>Residential</t>
  </si>
  <si>
    <t>Y_f</t>
  </si>
  <si>
    <t>Charcoal</t>
  </si>
  <si>
    <t>Charcoal -&gt; Industry NES</t>
  </si>
  <si>
    <t>Industry NES</t>
  </si>
  <si>
    <t>PSB</t>
  </si>
  <si>
    <t>PSB -&gt; Industry NES</t>
  </si>
  <si>
    <t>PSB -&gt; Residential</t>
  </si>
  <si>
    <t>i Y_f</t>
  </si>
  <si>
    <t>Y_f_fractionize</t>
  </si>
  <si>
    <t xml:space="preserve">Y_f |&gt; </t>
  </si>
  <si>
    <t>L [from Domestic electric lamps]</t>
  </si>
  <si>
    <t>L [from Televisions]</t>
  </si>
  <si>
    <t>LTC.-10.C [from Refrigerators]</t>
  </si>
  <si>
    <t>LTH.20.C [from LPG stoves]</t>
  </si>
  <si>
    <t>LTH.20.C [from Wood stoves]</t>
  </si>
  <si>
    <t>MTH.100.C [from LPG stoves]</t>
  </si>
  <si>
    <t>MTH.100.C [from Wood stoves]</t>
  </si>
  <si>
    <t>MTH.200.C [from LPG stoves]</t>
  </si>
  <si>
    <t>MTH.200.C [from Wood stoves]</t>
  </si>
  <si>
    <t>Domestic electric lamps -&gt; L</t>
  </si>
  <si>
    <t>Televisions -&gt; L</t>
  </si>
  <si>
    <t>Refrigerators -&gt; LTC.-10.C</t>
  </si>
  <si>
    <t>LPG stoves -&gt; LTH.20.C</t>
  </si>
  <si>
    <t>Wood stoves -&gt; LTH.20.C</t>
  </si>
  <si>
    <t>Material handlers -&gt; MacW</t>
  </si>
  <si>
    <t>LPG stoves -&gt; MTH.100.C</t>
  </si>
  <si>
    <t>Wood stoves -&gt; MTH.100.C</t>
  </si>
  <si>
    <t>LPG stoves -&gt; MTH.200.C</t>
  </si>
  <si>
    <t>Wood stoves -&gt; MTH.200.C</t>
  </si>
  <si>
    <t>eta_i</t>
  </si>
  <si>
    <t>Commercial electric ovens -&gt; MTH.200.C</t>
  </si>
  <si>
    <t>Commercial indoor electric lamps -&gt; L</t>
  </si>
  <si>
    <t>Commercial outdoor electric lamps -&gt; L</t>
  </si>
  <si>
    <t>Diesel HDVs -&gt; RoP</t>
  </si>
  <si>
    <t>Diesel LDVs -&gt; RoP</t>
  </si>
  <si>
    <t>Diesel trains -&gt; RaP</t>
  </si>
  <si>
    <t>Domestic boats -&gt; MaP</t>
  </si>
  <si>
    <t>Electric cable cranes -&gt; MacW</t>
  </si>
  <si>
    <t>Electric continuous miners -&gt; MF</t>
  </si>
  <si>
    <t>Electric space heaters -&gt; LTH.20.C</t>
  </si>
  <si>
    <t>Electric water heaters -&gt; MTH.100.C</t>
  </si>
  <si>
    <t>Electrolytic smelters -&gt; HTH.960.C</t>
  </si>
  <si>
    <t>Gas space heaters -&gt; LTH.20.C</t>
  </si>
  <si>
    <t>Gas water heaters -&gt; MTH.100.C</t>
  </si>
  <si>
    <t>Gasoline LDVs -&gt; RoP</t>
  </si>
  <si>
    <t>Gasoline motorcycles -&gt; RoP</t>
  </si>
  <si>
    <t>Kerosene stoves -&gt; MTH.100.C</t>
  </si>
  <si>
    <t>Main activity producer electricity plants</t>
  </si>
  <si>
    <t>Manufacture [of Hydro]</t>
  </si>
  <si>
    <t>Manufacture [of Primary solid biofuels]</t>
  </si>
  <si>
    <t>Non-energy consumption -&gt; NEU</t>
  </si>
  <si>
    <t>Oil refineries</t>
  </si>
  <si>
    <t>Room air conditioners -&gt; LTC.20.C</t>
  </si>
  <si>
    <t>Tractors -&gt; MacW</t>
  </si>
  <si>
    <t>Blast oxygen furnaces -&gt; HTH.1800.C</t>
  </si>
  <si>
    <t>eta_fu</t>
  </si>
  <si>
    <t>eta_fu_hat_inv</t>
  </si>
  <si>
    <t>Y_u_T * eta_fu_hat_inv</t>
  </si>
  <si>
    <t>This matrix correctly gives the amount of final energy used by each machine in each final demand sector.</t>
  </si>
  <si>
    <t>The challenge is to get that final energy apportioned by final energy carrier. That task was to be done by Y_special, but it isn't working completely, yet.</t>
  </si>
  <si>
    <t>Y_f_special * (Y_u_T * eta_fu_hat_inv)</t>
  </si>
  <si>
    <t>Y_f_vec_hat</t>
  </si>
  <si>
    <t>Y_f_vec_hat_inv</t>
  </si>
  <si>
    <t>Aviation gasoline</t>
  </si>
  <si>
    <t>Crude oil</t>
  </si>
  <si>
    <t>Electricity</t>
  </si>
  <si>
    <t>Fuel oil</t>
  </si>
  <si>
    <t>Gas/diesel oil excl. biofuels</t>
  </si>
  <si>
    <t>HTH.960.C [from Electrolytic smelters]</t>
  </si>
  <si>
    <t>Hydro</t>
  </si>
  <si>
    <t>Hydro [from Resources]</t>
  </si>
  <si>
    <t>Kerosene type jet fuel excl. biofuels</t>
  </si>
  <si>
    <t>L [from Commercial indoor electric lamps]</t>
  </si>
  <si>
    <t>L [from Commercial outdoor electric lamps]</t>
  </si>
  <si>
    <t>Liquefied petroleum gases (LPG)</t>
  </si>
  <si>
    <t>LTC.20.C [from Room air conditioners]</t>
  </si>
  <si>
    <t>LTH.20.C [from Electric space heaters]</t>
  </si>
  <si>
    <t>MacW [from Electric cable cranes]</t>
  </si>
  <si>
    <t>MacW [from Tractors]</t>
  </si>
  <si>
    <t>MaP [from Domestic boats]</t>
  </si>
  <si>
    <t>MD [from Natural gas turbines]</t>
  </si>
  <si>
    <t>MF [from Electric continuous miners]</t>
  </si>
  <si>
    <t>Motor gasoline excl. biofuels</t>
  </si>
  <si>
    <t>MTH.100.C [from Electric water heaters]</t>
  </si>
  <si>
    <t>MTH.150.C [from Natural gas process heaters]</t>
  </si>
  <si>
    <t>MTH.200.C [from Commercial electric ovens]</t>
  </si>
  <si>
    <t>Other kerosene</t>
  </si>
  <si>
    <t>Primary solid biofuels</t>
  </si>
  <si>
    <t>Primary solid biofuels [from Resources]</t>
  </si>
  <si>
    <t>RaP [from Diesel trains]</t>
  </si>
  <si>
    <t>Refinery gas</t>
  </si>
  <si>
    <t>RoP [from Diesel HDVs]</t>
  </si>
  <si>
    <t>RoP [from Diesel LDVs]</t>
  </si>
  <si>
    <t>RoP [from Gasoline HDVs]</t>
  </si>
  <si>
    <t>RoP [from Gasoline LDVs]</t>
  </si>
  <si>
    <t>RoP [from Gasoline motorcycles]</t>
  </si>
  <si>
    <t>U_u</t>
  </si>
  <si>
    <t>i U_u</t>
  </si>
  <si>
    <t>U_u |&gt; fractionize(margin = 2)</t>
  </si>
  <si>
    <t>Charcoal [to Wood stoves -&gt; LTH.20.C]</t>
  </si>
  <si>
    <t>Charcoal [to Wood stoves -&gt; MTH.100.C]</t>
  </si>
  <si>
    <t>Charcoal [to Wood stoves -&gt; MTH.200.C]</t>
  </si>
  <si>
    <t>Electricity [to Air compressore -&gt; HPA]</t>
  </si>
  <si>
    <t>Electricity [to Electric pumps -&gt; HPL]</t>
  </si>
  <si>
    <t>Electricity [to Industrial electric process heaters -&gt; HTH.600.C]</t>
  </si>
  <si>
    <t>Electricity [to Electro-chemical processors -&gt; HTH.960.C]</t>
  </si>
  <si>
    <t>Electricity [to Computers -&gt; IP]</t>
  </si>
  <si>
    <t>Electricity [to Industrial fans -&gt; KE]</t>
  </si>
  <si>
    <t>Electricity [to Domestic electric lamps -&gt; L]</t>
  </si>
  <si>
    <t>Electricity [to Industrial electric lamps -&gt; L]</t>
  </si>
  <si>
    <t>Electricity [to Televisions -&gt; L]</t>
  </si>
  <si>
    <t>Electricity [to Industrial refrigerators -&gt; LTC.-10.C]</t>
  </si>
  <si>
    <t>Electricity [to Refrigerators -&gt; LTC.-10.C]</t>
  </si>
  <si>
    <t>Electricity [to HVAC -&gt; LTC.20.C]</t>
  </si>
  <si>
    <t>Electricity [to Machine tools -&gt; MacW]</t>
  </si>
  <si>
    <t>Electricity [to Material handlers -&gt; MacW]</t>
  </si>
  <si>
    <t>Electricity [to Electric cars -&gt; RoP]</t>
  </si>
  <si>
    <t>Fuel oil [to Static diesel engines -&gt; MD]</t>
  </si>
  <si>
    <t>Gas/diesel oil excl. biofuels [to Static diesel engines -&gt; MD]</t>
  </si>
  <si>
    <t>Liquefied petroleum gases (LPG) [to LPG stoves -&gt; LTH.20.C]</t>
  </si>
  <si>
    <t>Liquefied petroleum gases (LPG) [to LPG stoves -&gt; MTH.100.C]</t>
  </si>
  <si>
    <t>Liquefied petroleum gases (LPG) [to LPG stoves -&gt; MTH.200.C]</t>
  </si>
  <si>
    <t>Other kerosene [to LPG stoves -&gt; LTH.20.C]</t>
  </si>
  <si>
    <t>Other kerosene [to LPG stoves -&gt; MTH.100.C]</t>
  </si>
  <si>
    <t>Other kerosene [to LPG stoves -&gt; MTH.200.C]</t>
  </si>
  <si>
    <t>Primary solid biofuels [to Wood stoves -&gt; LTH.20.C]</t>
  </si>
  <si>
    <t>Primary solid biofuels [to Wood stoves -&gt; MTH.100.C]</t>
  </si>
  <si>
    <t>Primary solid biofuels [to Clinker kilns -&gt; HTH.1200.C]</t>
  </si>
  <si>
    <t>Primary solid biofuels [to Blast oxygen furnaces -&gt; HTH.1800.C]</t>
  </si>
  <si>
    <t>Primary solid biofuels [to Steam cracking furnaces -&gt; HTH.850.C]</t>
  </si>
  <si>
    <t>Primary solid biofuels [to Paper dryers -&gt; MTH.130.C]</t>
  </si>
  <si>
    <t>Primary solid biofuels [to Wood stoves -&gt; MTH.200.C]</t>
  </si>
  <si>
    <t>Vectorize</t>
  </si>
  <si>
    <t>Hatize</t>
  </si>
  <si>
    <t>Aggregate columns to suffix in "to" notation</t>
  </si>
  <si>
    <t>U_u_special</t>
  </si>
  <si>
    <t>transpose(Y_u_T * eta_fu_hat_inv)</t>
  </si>
  <si>
    <t>U_u_special * transpose(Y_u_T * eta_fu_hat_inv)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</si>
</sst>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000000"/>
      <name val="Aptos Narrow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3712D"/>
      </patternFill>
    </fill>
    <fill>
      <patternFill patternType="solid">
        <fgColor theme="8"/>
        <bgColor indexed="64"/>
      </patternFill>
    </fill>
    <fill>
      <patternFill patternType="solid">
        <fgColor rgb="FFFD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3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0" xfId="0" applyFill="1" applyAlignment="1">
      <alignment horizontal="center" textRotation="90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0" fillId="0" borderId="0" xfId="0" applyAlignment="1"/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754722</xdr:colOff>
      <xdr:row>10</xdr:row>
      <xdr:rowOff>100030</xdr:rowOff>
    </xdr:from>
    <xdr:to>
      <xdr:col>1</xdr:col>
      <xdr:colOff>756292</xdr:colOff>
      <xdr:row>11</xdr:row>
      <xdr:rowOff>570787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DD85B40-2263-BF45-8962-C5174B1D502F}"/>
            </a:ext>
          </a:extLst>
        </xdr:cNvPr>
        <xdr:cNvCxnSpPr/>
      </xdr:nvCxnSpPr>
      <xdr:spPr>
        <a:xfrm>
          <a:off x="4093823" y="2768457"/>
          <a:ext cx="1570" cy="67053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42</xdr:row>
      <xdr:rowOff>12700</xdr:rowOff>
    </xdr:from>
    <xdr:to>
      <xdr:col>33</xdr:col>
      <xdr:colOff>0</xdr:colOff>
      <xdr:row>42</xdr:row>
      <xdr:rowOff>12700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101340EC-74E4-614A-8D28-BBDE852FAAE7}"/>
            </a:ext>
          </a:extLst>
        </xdr:cNvPr>
        <xdr:cNvCxnSpPr/>
      </xdr:nvCxnSpPr>
      <xdr:spPr>
        <a:xfrm>
          <a:off x="28143200" y="15100300"/>
          <a:ext cx="16129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292100</xdr:colOff>
      <xdr:row>42</xdr:row>
      <xdr:rowOff>25400</xdr:rowOff>
    </xdr:from>
    <xdr:to>
      <xdr:col>61</xdr:col>
      <xdr:colOff>2489200</xdr:colOff>
      <xdr:row>42</xdr:row>
      <xdr:rowOff>25400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FFB33F8-CDBD-6340-9DC3-BEA2F81D0DB7}"/>
            </a:ext>
          </a:extLst>
        </xdr:cNvPr>
        <xdr:cNvCxnSpPr/>
      </xdr:nvCxnSpPr>
      <xdr:spPr>
        <a:xfrm>
          <a:off x="53098700" y="15138400"/>
          <a:ext cx="30353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42</xdr:row>
      <xdr:rowOff>12700</xdr:rowOff>
    </xdr:from>
    <xdr:to>
      <xdr:col>4</xdr:col>
      <xdr:colOff>0</xdr:colOff>
      <xdr:row>42</xdr:row>
      <xdr:rowOff>12700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6FAF3F11-773A-2DF3-C07A-6C7C5B97F452}"/>
            </a:ext>
          </a:extLst>
        </xdr:cNvPr>
        <xdr:cNvCxnSpPr/>
      </xdr:nvCxnSpPr>
      <xdr:spPr>
        <a:xfrm>
          <a:off x="4991100" y="15100300"/>
          <a:ext cx="825500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262758</xdr:colOff>
      <xdr:row>43</xdr:row>
      <xdr:rowOff>58391</xdr:rowOff>
    </xdr:from>
    <xdr:to>
      <xdr:col>67</xdr:col>
      <xdr:colOff>175172</xdr:colOff>
      <xdr:row>241</xdr:row>
      <xdr:rowOff>102184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874E804-C3FC-6D42-B4EE-601FCFCF1AA6}"/>
            </a:ext>
          </a:extLst>
        </xdr:cNvPr>
        <xdr:cNvCxnSpPr/>
      </xdr:nvCxnSpPr>
      <xdr:spPr>
        <a:xfrm flipH="1">
          <a:off x="45413448" y="16159655"/>
          <a:ext cx="15838506" cy="18261724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206481</xdr:colOff>
      <xdr:row>42</xdr:row>
      <xdr:rowOff>11130</xdr:rowOff>
    </xdr:from>
    <xdr:to>
      <xdr:col>89</xdr:col>
      <xdr:colOff>739882</xdr:colOff>
      <xdr:row>42</xdr:row>
      <xdr:rowOff>11130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68E5243-D638-384C-A160-571A76721201}"/>
            </a:ext>
          </a:extLst>
        </xdr:cNvPr>
        <xdr:cNvCxnSpPr/>
      </xdr:nvCxnSpPr>
      <xdr:spPr>
        <a:xfrm>
          <a:off x="78161650" y="14994276"/>
          <a:ext cx="1361041" cy="0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36672</xdr:colOff>
      <xdr:row>15</xdr:row>
      <xdr:rowOff>166812</xdr:rowOff>
    </xdr:from>
    <xdr:to>
      <xdr:col>2</xdr:col>
      <xdr:colOff>38242</xdr:colOff>
      <xdr:row>17</xdr:row>
      <xdr:rowOff>437794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338021C-2C65-99E5-E160-FCE06CEE91BF}"/>
            </a:ext>
          </a:extLst>
        </xdr:cNvPr>
        <xdr:cNvCxnSpPr/>
      </xdr:nvCxnSpPr>
      <xdr:spPr>
        <a:xfrm>
          <a:off x="4203414" y="4504790"/>
          <a:ext cx="1570" cy="67053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788398</xdr:colOff>
      <xdr:row>22</xdr:row>
      <xdr:rowOff>133708</xdr:rowOff>
    </xdr:from>
    <xdr:to>
      <xdr:col>1</xdr:col>
      <xdr:colOff>789968</xdr:colOff>
      <xdr:row>24</xdr:row>
      <xdr:rowOff>404689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71DF990-E9A5-9C2B-EE3D-1C86EC8D843E}"/>
            </a:ext>
          </a:extLst>
        </xdr:cNvPr>
        <xdr:cNvCxnSpPr/>
      </xdr:nvCxnSpPr>
      <xdr:spPr>
        <a:xfrm>
          <a:off x="4127499" y="7311348"/>
          <a:ext cx="1570" cy="670532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379144</xdr:colOff>
      <xdr:row>5</xdr:row>
      <xdr:rowOff>138274</xdr:rowOff>
    </xdr:from>
    <xdr:to>
      <xdr:col>6</xdr:col>
      <xdr:colOff>456630</xdr:colOff>
      <xdr:row>6</xdr:row>
      <xdr:rowOff>14269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AE903E3-7BB2-AA0D-36E7-7676AC15B86D}"/>
            </a:ext>
          </a:extLst>
        </xdr:cNvPr>
        <xdr:cNvCxnSpPr/>
      </xdr:nvCxnSpPr>
      <xdr:spPr>
        <a:xfrm>
          <a:off x="5373526" y="2578386"/>
          <a:ext cx="2560407" cy="75771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174801</xdr:colOff>
      <xdr:row>6</xdr:row>
      <xdr:rowOff>190786</xdr:rowOff>
    </xdr:from>
    <xdr:to>
      <xdr:col>14</xdr:col>
      <xdr:colOff>727753</xdr:colOff>
      <xdr:row>7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ED71E11C-6359-C862-D1F8-1731691BEE75}"/>
            </a:ext>
          </a:extLst>
        </xdr:cNvPr>
        <xdr:cNvCxnSpPr/>
      </xdr:nvCxnSpPr>
      <xdr:spPr>
        <a:xfrm>
          <a:off x="13445588" y="2830674"/>
          <a:ext cx="1380592" cy="8989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88</xdr:col>
      <xdr:colOff>442360</xdr:colOff>
      <xdr:row>40</xdr:row>
      <xdr:rowOff>3025170</xdr:rowOff>
    </xdr:from>
    <xdr:to>
      <xdr:col>89</xdr:col>
      <xdr:colOff>456629</xdr:colOff>
      <xdr:row>44</xdr:row>
      <xdr:rowOff>114158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8726484-3A26-4F42-5AA7-E37A8E91E4ED}"/>
            </a:ext>
          </a:extLst>
        </xdr:cNvPr>
        <xdr:cNvSpPr txBox="1"/>
      </xdr:nvSpPr>
      <xdr:spPr>
        <a:xfrm>
          <a:off x="78611573" y="15240001"/>
          <a:ext cx="841910" cy="102741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800" b="1">
              <a:solidFill>
                <a:srgbClr val="FF0000"/>
              </a:solidFill>
            </a:rPr>
            <a:t>X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613103</xdr:colOff>
      <xdr:row>198</xdr:row>
      <xdr:rowOff>160575</xdr:rowOff>
    </xdr:from>
    <xdr:to>
      <xdr:col>4</xdr:col>
      <xdr:colOff>277357</xdr:colOff>
      <xdr:row>202</xdr:row>
      <xdr:rowOff>116782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50263D32-B497-A042-8AC2-01326093E668}"/>
            </a:ext>
          </a:extLst>
        </xdr:cNvPr>
        <xdr:cNvCxnSpPr/>
      </xdr:nvCxnSpPr>
      <xdr:spPr>
        <a:xfrm flipH="1">
          <a:off x="3955977" y="21808966"/>
          <a:ext cx="2160460" cy="773678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350344</xdr:colOff>
      <xdr:row>235</xdr:row>
      <xdr:rowOff>116782</xdr:rowOff>
    </xdr:from>
    <xdr:to>
      <xdr:col>8</xdr:col>
      <xdr:colOff>277357</xdr:colOff>
      <xdr:row>238</xdr:row>
      <xdr:rowOff>656897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78A309E8-041F-369F-0252-7A1385215907}"/>
            </a:ext>
          </a:extLst>
        </xdr:cNvPr>
        <xdr:cNvCxnSpPr/>
      </xdr:nvCxnSpPr>
      <xdr:spPr>
        <a:xfrm>
          <a:off x="4525287" y="29326782"/>
          <a:ext cx="4919426" cy="1153218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273</xdr:row>
      <xdr:rowOff>0</xdr:rowOff>
    </xdr:from>
    <xdr:to>
      <xdr:col>5</xdr:col>
      <xdr:colOff>29196</xdr:colOff>
      <xdr:row>275</xdr:row>
      <xdr:rowOff>1080230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2C7C8DBB-0968-C847-BB3B-90332E074AA9}"/>
            </a:ext>
          </a:extLst>
        </xdr:cNvPr>
        <xdr:cNvCxnSpPr/>
      </xdr:nvCxnSpPr>
      <xdr:spPr>
        <a:xfrm>
          <a:off x="6671149" y="40858966"/>
          <a:ext cx="29196" cy="1488965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423333</xdr:colOff>
      <xdr:row>267</xdr:row>
      <xdr:rowOff>72988</xdr:rowOff>
    </xdr:from>
    <xdr:to>
      <xdr:col>53</xdr:col>
      <xdr:colOff>233563</xdr:colOff>
      <xdr:row>275</xdr:row>
      <xdr:rowOff>2394023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3FFF82DB-015A-B0B7-8E8A-3F6C40C3E240}"/>
            </a:ext>
          </a:extLst>
        </xdr:cNvPr>
        <xdr:cNvCxnSpPr/>
      </xdr:nvCxnSpPr>
      <xdr:spPr>
        <a:xfrm>
          <a:off x="44741954" y="39705747"/>
          <a:ext cx="2306437" cy="3955977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189771</xdr:colOff>
      <xdr:row>297</xdr:row>
      <xdr:rowOff>29195</xdr:rowOff>
    </xdr:from>
    <xdr:to>
      <xdr:col>49</xdr:col>
      <xdr:colOff>291954</xdr:colOff>
      <xdr:row>298</xdr:row>
      <xdr:rowOff>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A333CE61-4BB7-6D92-94F6-5CDF75658846}"/>
            </a:ext>
          </a:extLst>
        </xdr:cNvPr>
        <xdr:cNvCxnSpPr/>
      </xdr:nvCxnSpPr>
      <xdr:spPr>
        <a:xfrm>
          <a:off x="26202874" y="48683333"/>
          <a:ext cx="17575632" cy="175173"/>
        </a:xfrm>
        <a:prstGeom prst="straightConnector1">
          <a:avLst/>
        </a:prstGeom>
        <a:ln w="508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24EF-6A5B-4441-8B12-A4B1463CFAF8}">
  <dimension ref="A2:DN310"/>
  <sheetViews>
    <sheetView tabSelected="1" topLeftCell="T258" zoomScale="87" workbookViewId="0">
      <selection activeCell="BG305" sqref="BG305"/>
    </sheetView>
  </sheetViews>
  <sheetFormatPr baseColWidth="10" defaultRowHeight="16" x14ac:dyDescent="0.2"/>
  <cols>
    <col min="1" max="1" width="43.83203125" bestFit="1" customWidth="1"/>
    <col min="6" max="20" width="10.83203125" customWidth="1"/>
    <col min="21" max="21" width="13.6640625" customWidth="1"/>
    <col min="22" max="61" width="10.83203125" customWidth="1"/>
    <col min="62" max="62" width="45.1640625" bestFit="1" customWidth="1"/>
  </cols>
  <sheetData>
    <row r="2" spans="1:21" x14ac:dyDescent="0.2">
      <c r="F2" s="4"/>
      <c r="G2" s="4"/>
      <c r="H2" s="4"/>
      <c r="I2" s="4"/>
      <c r="J2" s="4"/>
      <c r="K2" s="4"/>
    </row>
    <row r="3" spans="1:21" x14ac:dyDescent="0.2">
      <c r="A3" s="3"/>
      <c r="E3" s="3"/>
      <c r="F3" s="1"/>
      <c r="G3" s="1"/>
      <c r="H3" s="1"/>
      <c r="I3" s="1"/>
      <c r="J3" s="1"/>
      <c r="K3" s="1"/>
    </row>
    <row r="4" spans="1:21" x14ac:dyDescent="0.2">
      <c r="B4" s="7"/>
      <c r="E4" s="3"/>
      <c r="F4" s="1"/>
      <c r="G4" s="1"/>
      <c r="H4" s="1"/>
      <c r="I4" s="1"/>
      <c r="J4" s="1"/>
      <c r="K4" s="1"/>
    </row>
    <row r="5" spans="1:21" ht="129" x14ac:dyDescent="0.2">
      <c r="B5" s="4" t="s">
        <v>47</v>
      </c>
      <c r="C5" s="4" t="s">
        <v>43</v>
      </c>
      <c r="E5" s="3"/>
      <c r="F5" s="1"/>
      <c r="G5" s="17"/>
      <c r="H5" s="16"/>
      <c r="I5" s="16"/>
      <c r="J5" s="4" t="s">
        <v>46</v>
      </c>
      <c r="K5" s="4" t="s">
        <v>42</v>
      </c>
      <c r="L5" s="4" t="s">
        <v>49</v>
      </c>
      <c r="M5" s="4" t="s">
        <v>50</v>
      </c>
      <c r="N5" s="16"/>
      <c r="O5" s="16"/>
      <c r="P5" s="18"/>
      <c r="Q5" s="16"/>
      <c r="R5" s="4" t="s">
        <v>46</v>
      </c>
      <c r="S5" s="4" t="s">
        <v>42</v>
      </c>
      <c r="T5" s="4" t="s">
        <v>49</v>
      </c>
      <c r="U5" s="4" t="s">
        <v>50</v>
      </c>
    </row>
    <row r="6" spans="1:21" x14ac:dyDescent="0.2">
      <c r="A6" s="3" t="s">
        <v>45</v>
      </c>
      <c r="B6" s="8">
        <v>0</v>
      </c>
      <c r="C6" s="8">
        <v>4989.598</v>
      </c>
      <c r="E6" s="3"/>
      <c r="F6" s="1"/>
      <c r="G6" s="19"/>
      <c r="H6" s="17"/>
      <c r="I6" s="3" t="s">
        <v>46</v>
      </c>
      <c r="J6" s="9">
        <f>B6</f>
        <v>0</v>
      </c>
      <c r="K6" s="9">
        <v>0</v>
      </c>
      <c r="L6" s="9">
        <v>0</v>
      </c>
      <c r="M6" s="9">
        <v>0</v>
      </c>
      <c r="N6" s="17"/>
      <c r="O6" s="17"/>
      <c r="P6" s="18"/>
      <c r="Q6" s="3" t="s">
        <v>46</v>
      </c>
      <c r="R6" s="9">
        <v>0</v>
      </c>
      <c r="S6" s="9">
        <v>0</v>
      </c>
      <c r="T6" s="9">
        <v>0</v>
      </c>
      <c r="U6" s="9">
        <v>0</v>
      </c>
    </row>
    <row r="7" spans="1:21" x14ac:dyDescent="0.2">
      <c r="A7" s="3" t="s">
        <v>48</v>
      </c>
      <c r="B7" s="8">
        <v>6100.0001000000002</v>
      </c>
      <c r="C7" s="8">
        <v>61299.998099999997</v>
      </c>
      <c r="G7" s="19"/>
      <c r="H7" s="17"/>
      <c r="I7" s="3" t="s">
        <v>42</v>
      </c>
      <c r="J7" s="9">
        <v>0</v>
      </c>
      <c r="K7" s="9">
        <f>C6</f>
        <v>4989.598</v>
      </c>
      <c r="L7" s="9">
        <v>0</v>
      </c>
      <c r="M7" s="9">
        <v>0</v>
      </c>
      <c r="N7" s="17"/>
      <c r="O7" s="17"/>
      <c r="P7" s="20"/>
      <c r="Q7" s="3" t="s">
        <v>42</v>
      </c>
      <c r="R7" s="9">
        <v>0</v>
      </c>
      <c r="S7" s="9">
        <f>1/K7</f>
        <v>2.0041694741740717E-4</v>
      </c>
      <c r="T7" s="9">
        <v>0</v>
      </c>
      <c r="U7" s="9">
        <v>0</v>
      </c>
    </row>
    <row r="8" spans="1:21" x14ac:dyDescent="0.2">
      <c r="B8" s="13" t="s">
        <v>44</v>
      </c>
      <c r="C8" s="13"/>
      <c r="G8" s="19"/>
      <c r="H8" s="17"/>
      <c r="I8" s="3" t="s">
        <v>49</v>
      </c>
      <c r="J8" s="9">
        <v>0</v>
      </c>
      <c r="K8" s="9">
        <v>0</v>
      </c>
      <c r="L8" s="9">
        <f>B7</f>
        <v>6100.0001000000002</v>
      </c>
      <c r="M8" s="9">
        <v>0</v>
      </c>
      <c r="N8" s="17"/>
      <c r="O8" s="17"/>
      <c r="P8" s="20"/>
      <c r="Q8" s="3" t="s">
        <v>49</v>
      </c>
      <c r="R8" s="9">
        <v>0</v>
      </c>
      <c r="S8" s="9">
        <v>0</v>
      </c>
      <c r="T8" s="9">
        <f>1/L8</f>
        <v>1.6393442354205862E-4</v>
      </c>
      <c r="U8" s="9">
        <v>0</v>
      </c>
    </row>
    <row r="9" spans="1:21" x14ac:dyDescent="0.2">
      <c r="B9" s="9">
        <f>SUM(B6:B7)</f>
        <v>6100.0001000000002</v>
      </c>
      <c r="C9" s="9">
        <f>SUM(C6:C7)</f>
        <v>66289.596099999995</v>
      </c>
      <c r="G9" s="18"/>
      <c r="H9" s="22"/>
      <c r="I9" s="3" t="s">
        <v>50</v>
      </c>
      <c r="J9" s="9">
        <v>0</v>
      </c>
      <c r="K9" s="9">
        <v>0</v>
      </c>
      <c r="L9" s="9">
        <v>0</v>
      </c>
      <c r="M9" s="9">
        <f>C7</f>
        <v>61299.998099999997</v>
      </c>
      <c r="N9" s="22"/>
      <c r="O9" s="22"/>
      <c r="P9" s="20"/>
      <c r="Q9" s="3" t="s">
        <v>50</v>
      </c>
      <c r="R9" s="9">
        <v>0</v>
      </c>
      <c r="S9" s="9">
        <v>0</v>
      </c>
      <c r="T9" s="9">
        <v>0</v>
      </c>
      <c r="U9" s="9">
        <f>1/M9</f>
        <v>1.6313214208729315E-5</v>
      </c>
    </row>
    <row r="10" spans="1:21" x14ac:dyDescent="0.2">
      <c r="B10" s="13" t="s">
        <v>51</v>
      </c>
      <c r="C10" s="13"/>
      <c r="G10" s="18"/>
      <c r="H10" s="18"/>
      <c r="I10" s="18"/>
      <c r="J10" s="21" t="s">
        <v>105</v>
      </c>
      <c r="K10" s="21"/>
      <c r="L10" s="21"/>
      <c r="M10" s="21"/>
      <c r="N10" s="18"/>
      <c r="O10" s="18"/>
      <c r="P10" s="20"/>
      <c r="Q10" s="18"/>
      <c r="R10" s="21" t="s">
        <v>106</v>
      </c>
      <c r="S10" s="21"/>
      <c r="T10" s="21"/>
      <c r="U10" s="21"/>
    </row>
    <row r="11" spans="1:21" x14ac:dyDescent="0.2">
      <c r="A11" s="3"/>
      <c r="B11" s="6"/>
      <c r="G11" s="18"/>
      <c r="H11" s="18"/>
      <c r="I11" s="18"/>
      <c r="J11" s="18"/>
      <c r="K11" s="18"/>
      <c r="L11" s="18"/>
      <c r="M11" s="18"/>
      <c r="N11" s="18"/>
      <c r="O11" s="18"/>
      <c r="P11" s="20"/>
      <c r="Q11" s="6"/>
      <c r="R11" s="6"/>
      <c r="S11" s="6"/>
      <c r="T11" s="6"/>
      <c r="U11" s="6"/>
    </row>
    <row r="12" spans="1:21" ht="68" x14ac:dyDescent="0.2">
      <c r="B12" s="4" t="s">
        <v>47</v>
      </c>
      <c r="C12" s="4" t="s">
        <v>43</v>
      </c>
      <c r="G12" s="18"/>
      <c r="H12" s="18"/>
      <c r="I12" s="18"/>
      <c r="J12" s="18"/>
      <c r="K12" s="18"/>
      <c r="L12" s="18"/>
      <c r="M12" s="18"/>
      <c r="N12" s="18"/>
      <c r="O12" s="18"/>
      <c r="P12" s="20"/>
      <c r="Q12" s="6"/>
      <c r="R12" s="6"/>
      <c r="S12" s="6"/>
      <c r="T12" s="6"/>
      <c r="U12" s="6"/>
    </row>
    <row r="13" spans="1:21" x14ac:dyDescent="0.2">
      <c r="A13" s="3" t="s">
        <v>45</v>
      </c>
      <c r="B13" s="9">
        <f>B6/B$9</f>
        <v>0</v>
      </c>
      <c r="C13" s="9">
        <f>C6/C$9</f>
        <v>7.5269699825490421E-2</v>
      </c>
      <c r="P13" s="6"/>
      <c r="Q13" s="6"/>
      <c r="R13" s="6"/>
      <c r="S13" s="6"/>
      <c r="T13" s="6"/>
      <c r="U13" s="6"/>
    </row>
    <row r="14" spans="1:21" x14ac:dyDescent="0.2">
      <c r="A14" s="3" t="s">
        <v>48</v>
      </c>
      <c r="B14" s="9">
        <f>B7/B$9</f>
        <v>1</v>
      </c>
      <c r="C14" s="9">
        <f>C7/C$9</f>
        <v>0.92473030017450963</v>
      </c>
      <c r="P14" s="6"/>
      <c r="Q14" s="6"/>
      <c r="R14" s="6"/>
      <c r="S14" s="6"/>
      <c r="T14" s="6"/>
      <c r="U14" s="6"/>
    </row>
    <row r="15" spans="1:21" x14ac:dyDescent="0.2">
      <c r="B15" s="13" t="s">
        <v>52</v>
      </c>
      <c r="C15" s="13"/>
    </row>
    <row r="16" spans="1:21" x14ac:dyDescent="0.2">
      <c r="B16" s="6"/>
      <c r="C16" s="6"/>
    </row>
    <row r="17" spans="1:104" x14ac:dyDescent="0.2">
      <c r="B17" s="6"/>
      <c r="C17" s="6"/>
    </row>
    <row r="18" spans="1:104" ht="129" x14ac:dyDescent="0.2">
      <c r="B18" s="4" t="s">
        <v>46</v>
      </c>
      <c r="C18" s="4" t="s">
        <v>42</v>
      </c>
      <c r="D18" s="4" t="s">
        <v>49</v>
      </c>
      <c r="E18" s="4" t="s">
        <v>50</v>
      </c>
    </row>
    <row r="19" spans="1:104" x14ac:dyDescent="0.2">
      <c r="A19" s="3" t="s">
        <v>46</v>
      </c>
      <c r="B19" s="2">
        <v>0</v>
      </c>
      <c r="C19" s="2">
        <v>0</v>
      </c>
      <c r="D19" s="2">
        <v>0</v>
      </c>
      <c r="E19" s="2">
        <v>0</v>
      </c>
      <c r="F19" s="4"/>
      <c r="G19" s="4"/>
      <c r="H19" s="4"/>
      <c r="I19" s="4"/>
      <c r="J19" s="4"/>
      <c r="K19" s="4"/>
      <c r="L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spans="1:104" ht="16" customHeight="1" x14ac:dyDescent="0.2">
      <c r="A20" s="3" t="s">
        <v>42</v>
      </c>
      <c r="B20" s="2">
        <v>0</v>
      </c>
      <c r="C20" s="2">
        <f>C13</f>
        <v>7.5269699825490421E-2</v>
      </c>
      <c r="D20" s="2">
        <v>0</v>
      </c>
      <c r="E20" s="2">
        <v>0</v>
      </c>
      <c r="F20" s="1"/>
      <c r="G20" s="1"/>
      <c r="H20" s="1"/>
      <c r="I20" s="1"/>
      <c r="J20" s="1"/>
      <c r="K20" s="1"/>
      <c r="L20" s="1"/>
      <c r="O20" s="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L20" s="3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J20" s="3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G20" s="3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</row>
    <row r="21" spans="1:104" x14ac:dyDescent="0.2">
      <c r="A21" s="3" t="s">
        <v>49</v>
      </c>
      <c r="B21" s="2">
        <v>0</v>
      </c>
      <c r="C21" s="2">
        <v>0</v>
      </c>
      <c r="D21" s="2">
        <f>B14</f>
        <v>1</v>
      </c>
      <c r="E21" s="2">
        <v>0</v>
      </c>
      <c r="F21" s="1"/>
      <c r="G21" s="1"/>
      <c r="H21" s="1"/>
      <c r="I21" s="1"/>
      <c r="J21" s="1"/>
      <c r="K21" s="1"/>
      <c r="L21" s="1"/>
      <c r="O21" s="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L21" s="3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J21" s="3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G21" s="3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</row>
    <row r="22" spans="1:104" x14ac:dyDescent="0.2">
      <c r="A22" s="3" t="s">
        <v>50</v>
      </c>
      <c r="B22" s="2">
        <v>0</v>
      </c>
      <c r="C22" s="2">
        <v>0</v>
      </c>
      <c r="D22" s="2">
        <v>0</v>
      </c>
      <c r="E22" s="2">
        <f>C14</f>
        <v>0.92473030017450963</v>
      </c>
      <c r="F22" s="1"/>
      <c r="G22" s="1"/>
      <c r="H22" s="1"/>
      <c r="I22" s="1"/>
      <c r="J22" s="1"/>
      <c r="K22" s="1"/>
      <c r="L22" s="1"/>
      <c r="O22" s="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L22" s="3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J22" s="3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G22" s="3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1:104" x14ac:dyDescent="0.2">
      <c r="A23" s="3"/>
      <c r="B23" s="15"/>
      <c r="C23" s="15"/>
      <c r="D23" s="15"/>
      <c r="E23" s="15"/>
      <c r="F23" s="1"/>
      <c r="G23" s="1"/>
      <c r="H23" s="1"/>
      <c r="I23" s="1"/>
      <c r="J23" s="1"/>
      <c r="K23" s="1"/>
      <c r="L23" s="1"/>
      <c r="O23" s="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L23" s="3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J23" s="3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G23" s="3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1:104" x14ac:dyDescent="0.2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O24" s="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L24" s="3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J24" s="3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G24" s="3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1:104" ht="68" x14ac:dyDescent="0.2">
      <c r="A25" s="3"/>
      <c r="B25" s="4" t="s">
        <v>47</v>
      </c>
      <c r="C25" s="4" t="s">
        <v>43</v>
      </c>
      <c r="D25" s="1"/>
      <c r="E25" s="1"/>
      <c r="F25" s="1"/>
      <c r="G25" s="1"/>
      <c r="H25" s="1"/>
      <c r="I25" s="1"/>
      <c r="J25" s="1"/>
      <c r="K25" s="1"/>
      <c r="L25" s="1"/>
      <c r="O25" s="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L25" s="3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J25" s="3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G25" s="3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1:104" x14ac:dyDescent="0.2">
      <c r="A26" s="3" t="s">
        <v>46</v>
      </c>
      <c r="B26" s="2">
        <v>0</v>
      </c>
      <c r="C26" s="2">
        <v>0</v>
      </c>
      <c r="D26" s="1"/>
      <c r="E26" s="1"/>
      <c r="F26" s="1"/>
      <c r="G26" s="1"/>
      <c r="H26" s="1"/>
      <c r="I26" s="1"/>
      <c r="J26" s="1"/>
      <c r="K26" s="1"/>
      <c r="L26" s="1"/>
      <c r="O26" s="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L26" s="3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J26" s="3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G26" s="3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1:104" x14ac:dyDescent="0.2">
      <c r="A27" s="3" t="s">
        <v>42</v>
      </c>
      <c r="B27" s="9">
        <v>0</v>
      </c>
      <c r="C27" s="9">
        <f>C20</f>
        <v>7.5269699825490421E-2</v>
      </c>
      <c r="D27" s="10"/>
      <c r="E27" s="10"/>
      <c r="F27" s="7"/>
      <c r="G27" s="7"/>
      <c r="H27" s="7"/>
      <c r="I27" s="7"/>
      <c r="J27" s="7"/>
      <c r="K27" s="7"/>
      <c r="L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</row>
    <row r="28" spans="1:104" x14ac:dyDescent="0.2">
      <c r="A28" s="3" t="s">
        <v>49</v>
      </c>
      <c r="B28" s="2">
        <v>1</v>
      </c>
      <c r="C28" s="2">
        <v>0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</row>
    <row r="29" spans="1:104" x14ac:dyDescent="0.2">
      <c r="A29" s="3" t="s">
        <v>50</v>
      </c>
      <c r="B29" s="9">
        <v>0</v>
      </c>
      <c r="C29" s="2">
        <f>E22</f>
        <v>0.92473030017450963</v>
      </c>
    </row>
    <row r="30" spans="1:104" x14ac:dyDescent="0.2">
      <c r="A30" s="3"/>
      <c r="B30" s="13" t="s">
        <v>41</v>
      </c>
      <c r="C30" s="13"/>
    </row>
    <row r="31" spans="1:104" x14ac:dyDescent="0.2">
      <c r="A31" s="3"/>
      <c r="B31" s="5" t="s">
        <v>53</v>
      </c>
      <c r="C31" s="1"/>
      <c r="D31" s="1"/>
      <c r="E31" s="1"/>
    </row>
    <row r="32" spans="1:104" x14ac:dyDescent="0.2">
      <c r="A32" s="3"/>
      <c r="B32" s="5" t="s">
        <v>40</v>
      </c>
      <c r="C32" s="1"/>
      <c r="D32" s="1"/>
      <c r="E32" s="1"/>
    </row>
    <row r="33" spans="1:118" x14ac:dyDescent="0.2">
      <c r="A33" s="3"/>
      <c r="B33" s="5" t="s">
        <v>39</v>
      </c>
      <c r="C33" s="1"/>
      <c r="D33" s="1"/>
      <c r="E33" s="1"/>
    </row>
    <row r="34" spans="1:118" x14ac:dyDescent="0.2">
      <c r="A34" s="3"/>
      <c r="B34" s="5" t="s">
        <v>38</v>
      </c>
      <c r="C34" s="1"/>
      <c r="D34" s="1"/>
      <c r="E34" s="1"/>
    </row>
    <row r="35" spans="1:118" x14ac:dyDescent="0.2">
      <c r="A35" s="3"/>
      <c r="B35" s="5" t="s">
        <v>37</v>
      </c>
    </row>
    <row r="36" spans="1:118" x14ac:dyDescent="0.2">
      <c r="A36" s="3"/>
      <c r="B36" s="5" t="s">
        <v>36</v>
      </c>
    </row>
    <row r="37" spans="1:118" x14ac:dyDescent="0.2">
      <c r="A37" s="3"/>
      <c r="B37" s="5" t="s">
        <v>35</v>
      </c>
    </row>
    <row r="38" spans="1:118" x14ac:dyDescent="0.2">
      <c r="A38" s="3"/>
    </row>
    <row r="39" spans="1:118" x14ac:dyDescent="0.2">
      <c r="A39" s="3"/>
    </row>
    <row r="40" spans="1:118" x14ac:dyDescent="0.2">
      <c r="A40" s="3"/>
    </row>
    <row r="41" spans="1:118" ht="263" x14ac:dyDescent="0.2">
      <c r="B41" s="4" t="s">
        <v>47</v>
      </c>
      <c r="C41" s="4" t="s">
        <v>43</v>
      </c>
      <c r="D41" s="4"/>
      <c r="F41" s="4" t="s">
        <v>34</v>
      </c>
      <c r="G41" s="4" t="s">
        <v>33</v>
      </c>
      <c r="H41" s="4" t="s">
        <v>32</v>
      </c>
      <c r="I41" s="4" t="s">
        <v>31</v>
      </c>
      <c r="J41" s="4" t="s">
        <v>30</v>
      </c>
      <c r="K41" s="4" t="s">
        <v>29</v>
      </c>
      <c r="L41" s="4" t="s">
        <v>27</v>
      </c>
      <c r="M41" s="4" t="s">
        <v>26</v>
      </c>
      <c r="N41" s="4" t="s">
        <v>25</v>
      </c>
      <c r="O41" s="4" t="s">
        <v>54</v>
      </c>
      <c r="P41" s="4" t="s">
        <v>24</v>
      </c>
      <c r="Q41" s="4" t="s">
        <v>55</v>
      </c>
      <c r="R41" s="4" t="s">
        <v>23</v>
      </c>
      <c r="S41" s="4" t="s">
        <v>56</v>
      </c>
      <c r="T41" s="4" t="s">
        <v>22</v>
      </c>
      <c r="U41" s="4" t="s">
        <v>57</v>
      </c>
      <c r="V41" s="4" t="s">
        <v>58</v>
      </c>
      <c r="W41" s="4" t="s">
        <v>21</v>
      </c>
      <c r="X41" s="4" t="s">
        <v>20</v>
      </c>
      <c r="Y41" s="4" t="s">
        <v>19</v>
      </c>
      <c r="Z41" s="4" t="s">
        <v>59</v>
      </c>
      <c r="AA41" s="4" t="s">
        <v>60</v>
      </c>
      <c r="AB41" s="4" t="s">
        <v>18</v>
      </c>
      <c r="AC41" s="4" t="s">
        <v>61</v>
      </c>
      <c r="AD41" s="4" t="s">
        <v>62</v>
      </c>
      <c r="AE41" s="4" t="s">
        <v>17</v>
      </c>
      <c r="AI41" s="4" t="s">
        <v>14</v>
      </c>
      <c r="AJ41" s="4" t="s">
        <v>13</v>
      </c>
      <c r="AK41" s="4" t="s">
        <v>12</v>
      </c>
      <c r="AL41" s="4" t="s">
        <v>98</v>
      </c>
      <c r="AM41" s="4" t="s">
        <v>11</v>
      </c>
      <c r="AN41" s="4" t="s">
        <v>10</v>
      </c>
      <c r="AO41" s="4" t="s">
        <v>9</v>
      </c>
      <c r="AP41" s="4" t="s">
        <v>8</v>
      </c>
      <c r="AQ41" s="4" t="s">
        <v>7</v>
      </c>
      <c r="AR41" s="4" t="s">
        <v>63</v>
      </c>
      <c r="AS41" s="4" t="s">
        <v>6</v>
      </c>
      <c r="AT41" s="4" t="s">
        <v>64</v>
      </c>
      <c r="AU41" s="4" t="s">
        <v>5</v>
      </c>
      <c r="AV41" s="4" t="s">
        <v>65</v>
      </c>
      <c r="AW41" s="4" t="s">
        <v>4</v>
      </c>
      <c r="AX41" s="4" t="s">
        <v>66</v>
      </c>
      <c r="AY41" s="4" t="s">
        <v>67</v>
      </c>
      <c r="AZ41" s="4" t="s">
        <v>3</v>
      </c>
      <c r="BA41" s="4" t="s">
        <v>68</v>
      </c>
      <c r="BB41" s="4" t="s">
        <v>2</v>
      </c>
      <c r="BC41" s="4" t="s">
        <v>69</v>
      </c>
      <c r="BD41" s="4" t="s">
        <v>70</v>
      </c>
      <c r="BE41" s="4" t="s">
        <v>1</v>
      </c>
      <c r="BF41" s="4" t="s">
        <v>71</v>
      </c>
      <c r="BG41" s="4" t="s">
        <v>72</v>
      </c>
      <c r="BH41" s="4" t="s">
        <v>0</v>
      </c>
      <c r="BK41" s="4" t="s">
        <v>14</v>
      </c>
      <c r="BL41" s="4" t="s">
        <v>13</v>
      </c>
      <c r="BM41" s="4" t="s">
        <v>12</v>
      </c>
      <c r="BN41" s="4" t="s">
        <v>98</v>
      </c>
      <c r="BO41" s="4" t="s">
        <v>11</v>
      </c>
      <c r="BP41" s="4" t="s">
        <v>10</v>
      </c>
      <c r="BQ41" s="4" t="s">
        <v>9</v>
      </c>
      <c r="BR41" s="4" t="s">
        <v>8</v>
      </c>
      <c r="BS41" s="4" t="s">
        <v>7</v>
      </c>
      <c r="BT41" s="4" t="s">
        <v>63</v>
      </c>
      <c r="BU41" s="4" t="s">
        <v>6</v>
      </c>
      <c r="BV41" s="4" t="s">
        <v>64</v>
      </c>
      <c r="BW41" s="4" t="s">
        <v>5</v>
      </c>
      <c r="BX41" s="4" t="s">
        <v>65</v>
      </c>
      <c r="BY41" s="4" t="s">
        <v>4</v>
      </c>
      <c r="BZ41" s="4" t="s">
        <v>66</v>
      </c>
      <c r="CA41" s="4" t="s">
        <v>67</v>
      </c>
      <c r="CB41" s="4" t="s">
        <v>3</v>
      </c>
      <c r="CC41" s="4" t="s">
        <v>68</v>
      </c>
      <c r="CD41" s="4" t="s">
        <v>2</v>
      </c>
      <c r="CE41" s="4" t="s">
        <v>69</v>
      </c>
      <c r="CF41" s="4" t="s">
        <v>70</v>
      </c>
      <c r="CG41" s="4" t="s">
        <v>1</v>
      </c>
      <c r="CH41" s="4" t="s">
        <v>71</v>
      </c>
      <c r="CI41" s="4" t="s">
        <v>72</v>
      </c>
      <c r="CJ41" s="4" t="s">
        <v>0</v>
      </c>
      <c r="CO41" s="4" t="s">
        <v>14</v>
      </c>
      <c r="CP41" s="4" t="s">
        <v>13</v>
      </c>
      <c r="CQ41" s="4" t="s">
        <v>12</v>
      </c>
      <c r="CR41" s="4" t="s">
        <v>98</v>
      </c>
      <c r="CS41" s="4" t="s">
        <v>11</v>
      </c>
      <c r="CT41" s="4" t="s">
        <v>10</v>
      </c>
      <c r="CU41" s="4" t="s">
        <v>9</v>
      </c>
      <c r="CV41" s="4" t="s">
        <v>8</v>
      </c>
      <c r="CW41" s="4" t="s">
        <v>7</v>
      </c>
      <c r="CX41" s="4" t="s">
        <v>63</v>
      </c>
      <c r="CY41" s="4" t="s">
        <v>6</v>
      </c>
      <c r="CZ41" s="4" t="s">
        <v>64</v>
      </c>
      <c r="DA41" s="4" t="s">
        <v>5</v>
      </c>
      <c r="DB41" s="4" t="s">
        <v>65</v>
      </c>
      <c r="DC41" s="4" t="s">
        <v>4</v>
      </c>
      <c r="DD41" s="4" t="s">
        <v>66</v>
      </c>
      <c r="DE41" s="4" t="s">
        <v>67</v>
      </c>
      <c r="DF41" s="4" t="s">
        <v>3</v>
      </c>
      <c r="DG41" s="4" t="s">
        <v>68</v>
      </c>
      <c r="DH41" s="4" t="s">
        <v>2</v>
      </c>
      <c r="DI41" s="4" t="s">
        <v>69</v>
      </c>
      <c r="DJ41" s="4" t="s">
        <v>70</v>
      </c>
      <c r="DK41" s="4" t="s">
        <v>1</v>
      </c>
      <c r="DL41" s="4" t="s">
        <v>71</v>
      </c>
      <c r="DM41" s="4" t="s">
        <v>72</v>
      </c>
      <c r="DN41" s="4" t="s">
        <v>0</v>
      </c>
    </row>
    <row r="42" spans="1:118" x14ac:dyDescent="0.2">
      <c r="A42" s="3" t="s">
        <v>34</v>
      </c>
      <c r="B42" s="8">
        <v>45.420974487803001</v>
      </c>
      <c r="C42" s="8">
        <v>0</v>
      </c>
      <c r="D42" s="1"/>
      <c r="E42" s="3" t="s">
        <v>47</v>
      </c>
      <c r="F42" s="2" cm="1">
        <f t="array" ref="F42:AE43">TRANSPOSE(B42:C67)</f>
        <v>45.420974487803001</v>
      </c>
      <c r="G42" s="2">
        <v>10.56548974729</v>
      </c>
      <c r="H42" s="2">
        <v>239.42002754622999</v>
      </c>
      <c r="I42" s="2">
        <v>320.41223929520999</v>
      </c>
      <c r="J42" s="2">
        <v>13.894729834892001</v>
      </c>
      <c r="K42" s="2">
        <v>134.58699587643</v>
      </c>
      <c r="L42" s="2">
        <v>4.8328734732758001</v>
      </c>
      <c r="M42" s="2">
        <v>2.4537243968652998E-2</v>
      </c>
      <c r="N42" s="2">
        <v>66.682419111564002</v>
      </c>
      <c r="O42" s="2">
        <v>0</v>
      </c>
      <c r="P42" s="2">
        <v>20.72619293088</v>
      </c>
      <c r="Q42" s="2">
        <v>0</v>
      </c>
      <c r="R42" s="2">
        <v>11.722790773811001</v>
      </c>
      <c r="S42" s="2">
        <v>0</v>
      </c>
      <c r="T42" s="2">
        <v>351.12025842441</v>
      </c>
      <c r="U42" s="2">
        <v>0</v>
      </c>
      <c r="V42" s="2">
        <v>0</v>
      </c>
      <c r="W42" s="2">
        <v>10.981003594759001</v>
      </c>
      <c r="X42" s="2">
        <v>4.7239291045123002</v>
      </c>
      <c r="Y42" s="2">
        <v>1855.3143386280001</v>
      </c>
      <c r="Z42" s="2">
        <v>0</v>
      </c>
      <c r="AA42" s="2">
        <v>0</v>
      </c>
      <c r="AB42" s="2">
        <v>73.809561478158003</v>
      </c>
      <c r="AC42" s="2">
        <v>0</v>
      </c>
      <c r="AD42" s="2">
        <v>0</v>
      </c>
      <c r="AE42" s="2">
        <v>2.1592437759009999</v>
      </c>
      <c r="AH42" s="3" t="s">
        <v>47</v>
      </c>
      <c r="AI42" s="2">
        <f>F42</f>
        <v>45.420974487803001</v>
      </c>
      <c r="AJ42" s="2">
        <f t="shared" ref="AJ42:BH42" si="0">G42</f>
        <v>10.56548974729</v>
      </c>
      <c r="AK42" s="2">
        <f t="shared" si="0"/>
        <v>239.42002754622999</v>
      </c>
      <c r="AL42" s="2">
        <f t="shared" si="0"/>
        <v>320.41223929520999</v>
      </c>
      <c r="AM42" s="2">
        <f t="shared" si="0"/>
        <v>13.894729834892001</v>
      </c>
      <c r="AN42" s="2">
        <f t="shared" si="0"/>
        <v>134.58699587643</v>
      </c>
      <c r="AO42" s="2">
        <f t="shared" si="0"/>
        <v>4.8328734732758001</v>
      </c>
      <c r="AP42" s="2">
        <f t="shared" si="0"/>
        <v>2.4537243968652998E-2</v>
      </c>
      <c r="AQ42" s="2">
        <f t="shared" si="0"/>
        <v>66.682419111564002</v>
      </c>
      <c r="AR42" s="2">
        <f t="shared" si="0"/>
        <v>0</v>
      </c>
      <c r="AS42" s="2">
        <f t="shared" si="0"/>
        <v>20.72619293088</v>
      </c>
      <c r="AT42" s="2">
        <f t="shared" si="0"/>
        <v>0</v>
      </c>
      <c r="AU42" s="2">
        <f t="shared" si="0"/>
        <v>11.722790773811001</v>
      </c>
      <c r="AV42" s="2">
        <f t="shared" si="0"/>
        <v>0</v>
      </c>
      <c r="AW42" s="2">
        <f t="shared" si="0"/>
        <v>351.12025842441</v>
      </c>
      <c r="AX42" s="2">
        <f t="shared" si="0"/>
        <v>0</v>
      </c>
      <c r="AY42" s="2">
        <f t="shared" si="0"/>
        <v>0</v>
      </c>
      <c r="AZ42" s="2">
        <f t="shared" si="0"/>
        <v>10.981003594759001</v>
      </c>
      <c r="BA42" s="2">
        <f t="shared" si="0"/>
        <v>4.7239291045123002</v>
      </c>
      <c r="BB42" s="2">
        <f t="shared" si="0"/>
        <v>1855.3143386280001</v>
      </c>
      <c r="BC42" s="2">
        <f t="shared" si="0"/>
        <v>0</v>
      </c>
      <c r="BD42" s="2">
        <f t="shared" si="0"/>
        <v>0</v>
      </c>
      <c r="BE42" s="2">
        <f t="shared" si="0"/>
        <v>73.809561478158003</v>
      </c>
      <c r="BF42" s="2">
        <f t="shared" si="0"/>
        <v>0</v>
      </c>
      <c r="BG42" s="2">
        <f t="shared" si="0"/>
        <v>0</v>
      </c>
      <c r="BH42" s="2">
        <f t="shared" si="0"/>
        <v>2.1592437759009999</v>
      </c>
      <c r="BJ42" s="3" t="s">
        <v>47</v>
      </c>
      <c r="BK42" s="2">
        <f t="array" ref="BK42:CJ43">MMULT(AI42:BH43, L76:AK101)</f>
        <v>88.712840796490241</v>
      </c>
      <c r="BL42" s="2">
        <v>41.538696971306592</v>
      </c>
      <c r="BM42" s="2">
        <v>0</v>
      </c>
      <c r="BN42" s="2">
        <v>0</v>
      </c>
      <c r="BO42" s="2">
        <v>137.87847297700469</v>
      </c>
      <c r="BP42" s="2">
        <v>0</v>
      </c>
      <c r="BQ42" s="2">
        <v>14.802062705285756</v>
      </c>
      <c r="BR42" s="2">
        <v>24.537243968652998</v>
      </c>
      <c r="BS42" s="2">
        <v>112.16357125293791</v>
      </c>
      <c r="BT42" s="2">
        <v>0</v>
      </c>
      <c r="BU42" s="2">
        <v>136.50604690606468</v>
      </c>
      <c r="BV42" s="2">
        <v>0</v>
      </c>
      <c r="BW42" s="2">
        <v>50.162545834576086</v>
      </c>
      <c r="BX42" s="2">
        <v>0</v>
      </c>
      <c r="BY42" s="2">
        <v>166.96607390163683</v>
      </c>
      <c r="BZ42" s="2">
        <v>0</v>
      </c>
      <c r="CA42" s="2">
        <v>0</v>
      </c>
      <c r="CB42" s="2">
        <v>135.43251310120743</v>
      </c>
      <c r="CC42" s="2">
        <v>5.6354468538754663</v>
      </c>
      <c r="CD42" s="2">
        <v>5343.8012000000008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3.6664847309481892</v>
      </c>
      <c r="CN42" s="3" t="s">
        <v>46</v>
      </c>
      <c r="CO42" s="2" cm="1">
        <f t="array" ref="CO42:DN45">MMULT(B26:C29, BK42:CJ43)</f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</row>
    <row r="43" spans="1:118" x14ac:dyDescent="0.2">
      <c r="A43" s="3" t="s">
        <v>33</v>
      </c>
      <c r="B43" s="8">
        <v>10.56548974729</v>
      </c>
      <c r="C43" s="8">
        <v>0</v>
      </c>
      <c r="D43" s="1"/>
      <c r="E43" s="3" t="s">
        <v>43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2.9520080000000001E-2</v>
      </c>
      <c r="N43" s="2">
        <v>0</v>
      </c>
      <c r="O43" s="2">
        <v>8.3152801916768002</v>
      </c>
      <c r="P43" s="2">
        <v>0</v>
      </c>
      <c r="Q43" s="2">
        <v>0.23511241028546001</v>
      </c>
      <c r="R43" s="2">
        <v>0</v>
      </c>
      <c r="S43" s="2">
        <v>41.109734029244002</v>
      </c>
      <c r="T43" s="2">
        <v>0</v>
      </c>
      <c r="U43" s="2">
        <v>1213.8817703361999</v>
      </c>
      <c r="V43" s="2">
        <v>2485.8598537500002</v>
      </c>
      <c r="W43" s="2">
        <v>0</v>
      </c>
      <c r="X43" s="2">
        <v>0</v>
      </c>
      <c r="Y43" s="2">
        <v>0</v>
      </c>
      <c r="Z43" s="2">
        <v>339.73875560199002</v>
      </c>
      <c r="AA43" s="2">
        <v>2485.8598537500002</v>
      </c>
      <c r="AB43" s="2">
        <v>0</v>
      </c>
      <c r="AC43" s="2">
        <v>87.033979061799997</v>
      </c>
      <c r="AD43" s="2">
        <v>11600.6793175</v>
      </c>
      <c r="AE43" s="2">
        <v>0</v>
      </c>
      <c r="AH43" s="3" t="s">
        <v>43</v>
      </c>
      <c r="AI43" s="2">
        <f>F43</f>
        <v>0</v>
      </c>
      <c r="AJ43" s="2">
        <f t="shared" ref="AJ43" si="1">G43</f>
        <v>0</v>
      </c>
      <c r="AK43" s="2">
        <f t="shared" ref="AK43" si="2">H43</f>
        <v>0</v>
      </c>
      <c r="AL43" s="2">
        <f t="shared" ref="AL43" si="3">I43</f>
        <v>0</v>
      </c>
      <c r="AM43" s="2">
        <f t="shared" ref="AM43" si="4">J43</f>
        <v>0</v>
      </c>
      <c r="AN43" s="2">
        <f t="shared" ref="AN43" si="5">K43</f>
        <v>0</v>
      </c>
      <c r="AO43" s="2">
        <f t="shared" ref="AO43" si="6">L43</f>
        <v>0</v>
      </c>
      <c r="AP43" s="2">
        <f t="shared" ref="AP43" si="7">M43</f>
        <v>2.9520080000000001E-2</v>
      </c>
      <c r="AQ43" s="2">
        <f t="shared" ref="AQ43" si="8">N43</f>
        <v>0</v>
      </c>
      <c r="AR43" s="2">
        <f t="shared" ref="AR43" si="9">O43</f>
        <v>8.3152801916768002</v>
      </c>
      <c r="AS43" s="2">
        <f t="shared" ref="AS43" si="10">P43</f>
        <v>0</v>
      </c>
      <c r="AT43" s="2">
        <f t="shared" ref="AT43" si="11">Q43</f>
        <v>0.23511241028546001</v>
      </c>
      <c r="AU43" s="2">
        <f t="shared" ref="AU43" si="12">R43</f>
        <v>0</v>
      </c>
      <c r="AV43" s="2">
        <f t="shared" ref="AV43" si="13">S43</f>
        <v>41.109734029244002</v>
      </c>
      <c r="AW43" s="2">
        <f t="shared" ref="AW43" si="14">T43</f>
        <v>0</v>
      </c>
      <c r="AX43" s="2">
        <f t="shared" ref="AX43" si="15">U43</f>
        <v>1213.8817703361999</v>
      </c>
      <c r="AY43" s="2">
        <f t="shared" ref="AY43" si="16">V43</f>
        <v>2485.8598537500002</v>
      </c>
      <c r="AZ43" s="2">
        <f t="shared" ref="AZ43" si="17">W43</f>
        <v>0</v>
      </c>
      <c r="BA43" s="2">
        <f t="shared" ref="BA43" si="18">X43</f>
        <v>0</v>
      </c>
      <c r="BB43" s="2">
        <f t="shared" ref="BB43" si="19">Y43</f>
        <v>0</v>
      </c>
      <c r="BC43" s="2">
        <f t="shared" ref="BC43" si="20">Z43</f>
        <v>339.73875560199002</v>
      </c>
      <c r="BD43" s="2">
        <f t="shared" ref="BD43" si="21">AA43</f>
        <v>2485.8598537500002</v>
      </c>
      <c r="BE43" s="2">
        <f t="shared" ref="BE43" si="22">AB43</f>
        <v>0</v>
      </c>
      <c r="BF43" s="2">
        <f t="shared" ref="BF43" si="23">AC43</f>
        <v>87.033979061799997</v>
      </c>
      <c r="BG43" s="2">
        <f t="shared" ref="BG43" si="24">AD43</f>
        <v>11600.6793175</v>
      </c>
      <c r="BH43" s="2">
        <f t="shared" ref="BH43" si="25">AE43</f>
        <v>0</v>
      </c>
      <c r="BJ43" s="3" t="s">
        <v>43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29.52008</v>
      </c>
      <c r="BS43" s="2">
        <v>0</v>
      </c>
      <c r="BT43" s="2">
        <v>236.16064000000083</v>
      </c>
      <c r="BU43" s="2">
        <v>0</v>
      </c>
      <c r="BV43" s="2">
        <v>88.560239999999595</v>
      </c>
      <c r="BW43" s="2">
        <v>0</v>
      </c>
      <c r="BX43" s="2">
        <v>236.16063999999329</v>
      </c>
      <c r="BY43" s="2">
        <v>0</v>
      </c>
      <c r="BZ43" s="2">
        <v>0</v>
      </c>
      <c r="CA43" s="2">
        <v>9943.4394150000007</v>
      </c>
      <c r="CB43" s="2">
        <v>0</v>
      </c>
      <c r="CC43" s="2">
        <v>0</v>
      </c>
      <c r="CD43" s="2">
        <v>0</v>
      </c>
      <c r="CE43" s="2">
        <v>754.97501244886678</v>
      </c>
      <c r="CF43" s="2">
        <v>9943.4394150000007</v>
      </c>
      <c r="CG43" s="2">
        <v>0</v>
      </c>
      <c r="CH43" s="2">
        <v>0</v>
      </c>
      <c r="CI43" s="2">
        <v>46402.717270000001</v>
      </c>
      <c r="CJ43" s="2">
        <v>0</v>
      </c>
      <c r="CN43" s="3" t="s">
        <v>42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2.2219675604244631</v>
      </c>
      <c r="CW43" s="2">
        <v>0</v>
      </c>
      <c r="CX43" s="2">
        <v>17.775740483395769</v>
      </c>
      <c r="CY43" s="2">
        <v>0</v>
      </c>
      <c r="CZ43" s="2">
        <v>6.6659026812733595</v>
      </c>
      <c r="DA43" s="2">
        <v>0</v>
      </c>
      <c r="DB43" s="2">
        <v>17.7757404833952</v>
      </c>
      <c r="DC43" s="2">
        <v>0</v>
      </c>
      <c r="DD43" s="2">
        <v>0</v>
      </c>
      <c r="DE43" s="2">
        <v>748.43970000000013</v>
      </c>
      <c r="DF43" s="2">
        <v>0</v>
      </c>
      <c r="DG43" s="2">
        <v>0</v>
      </c>
      <c r="DH43" s="2">
        <v>0</v>
      </c>
      <c r="DI43" s="2">
        <v>56.826742562772097</v>
      </c>
      <c r="DJ43" s="2">
        <v>748.43970000000013</v>
      </c>
      <c r="DK43" s="2">
        <v>0</v>
      </c>
      <c r="DL43" s="2">
        <v>0</v>
      </c>
      <c r="DM43" s="2">
        <v>3492.7186000000006</v>
      </c>
      <c r="DN43" s="2">
        <v>0</v>
      </c>
    </row>
    <row r="44" spans="1:118" x14ac:dyDescent="0.2">
      <c r="A44" s="3" t="s">
        <v>32</v>
      </c>
      <c r="B44" s="8">
        <v>239.42002754622999</v>
      </c>
      <c r="C44" s="8">
        <v>0</v>
      </c>
      <c r="D44" s="1"/>
      <c r="E44" s="1"/>
      <c r="F44" s="13" t="s">
        <v>28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H44" s="1"/>
      <c r="AI44" s="13" t="s">
        <v>28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K44" s="13" t="s">
        <v>101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N44" s="3" t="s">
        <v>49</v>
      </c>
      <c r="CO44" s="2">
        <v>88.712840796490241</v>
      </c>
      <c r="CP44" s="2">
        <v>41.538696971306592</v>
      </c>
      <c r="CQ44" s="2">
        <v>0</v>
      </c>
      <c r="CR44" s="2">
        <v>0</v>
      </c>
      <c r="CS44" s="2">
        <v>137.87847297700469</v>
      </c>
      <c r="CT44" s="2">
        <v>0</v>
      </c>
      <c r="CU44" s="2">
        <v>14.802062705285756</v>
      </c>
      <c r="CV44" s="2">
        <v>24.537243968652998</v>
      </c>
      <c r="CW44" s="2">
        <v>112.16357125293791</v>
      </c>
      <c r="CX44" s="2">
        <v>0</v>
      </c>
      <c r="CY44" s="2">
        <v>136.50604690606468</v>
      </c>
      <c r="CZ44" s="2">
        <v>0</v>
      </c>
      <c r="DA44" s="2">
        <v>50.162545834576086</v>
      </c>
      <c r="DB44" s="2">
        <v>0</v>
      </c>
      <c r="DC44" s="2">
        <v>166.96607390163683</v>
      </c>
      <c r="DD44" s="2">
        <v>0</v>
      </c>
      <c r="DE44" s="2">
        <v>0</v>
      </c>
      <c r="DF44" s="2">
        <v>135.43251310120743</v>
      </c>
      <c r="DG44" s="2">
        <v>5.6354468538754663</v>
      </c>
      <c r="DH44" s="2">
        <v>5343.8012000000008</v>
      </c>
      <c r="DI44" s="2">
        <v>0</v>
      </c>
      <c r="DJ44" s="2">
        <v>0</v>
      </c>
      <c r="DK44" s="2">
        <v>0</v>
      </c>
      <c r="DL44" s="2">
        <v>0</v>
      </c>
      <c r="DM44" s="2">
        <v>0</v>
      </c>
      <c r="DN44" s="2">
        <v>3.6664847309481892</v>
      </c>
    </row>
    <row r="45" spans="1:118" x14ac:dyDescent="0.2">
      <c r="A45" s="3" t="s">
        <v>31</v>
      </c>
      <c r="B45" s="8">
        <v>320.41223929520999</v>
      </c>
      <c r="C45" s="8">
        <v>0</v>
      </c>
      <c r="D45" s="1"/>
      <c r="E45" s="1"/>
      <c r="F45" s="1"/>
      <c r="G45" s="1"/>
      <c r="H45" s="1"/>
      <c r="I45" s="1"/>
      <c r="J45" s="1"/>
      <c r="K45" s="1"/>
      <c r="M45" s="1"/>
      <c r="N45" s="1"/>
      <c r="O45" s="1"/>
      <c r="P45" s="1"/>
      <c r="R45" s="1"/>
      <c r="S45" s="1"/>
      <c r="T45" s="1"/>
      <c r="U45" s="1"/>
      <c r="BK45" s="14" t="s">
        <v>102</v>
      </c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N45" s="3" t="s">
        <v>50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27.29811243957554</v>
      </c>
      <c r="CW45" s="2">
        <v>0</v>
      </c>
      <c r="CX45" s="2">
        <v>218.38489951660506</v>
      </c>
      <c r="CY45" s="2">
        <v>0</v>
      </c>
      <c r="CZ45" s="2">
        <v>81.894337318726244</v>
      </c>
      <c r="DA45" s="2">
        <v>0</v>
      </c>
      <c r="DB45" s="2">
        <v>218.3848995165981</v>
      </c>
      <c r="DC45" s="2">
        <v>0</v>
      </c>
      <c r="DD45" s="2">
        <v>0</v>
      </c>
      <c r="DE45" s="2">
        <v>9194.9997150000017</v>
      </c>
      <c r="DF45" s="2">
        <v>0</v>
      </c>
      <c r="DG45" s="2">
        <v>0</v>
      </c>
      <c r="DH45" s="2">
        <v>0</v>
      </c>
      <c r="DI45" s="2">
        <v>698.14826988609468</v>
      </c>
      <c r="DJ45" s="2">
        <v>9194.9997150000017</v>
      </c>
      <c r="DK45" s="2">
        <v>0</v>
      </c>
      <c r="DL45" s="2">
        <v>0</v>
      </c>
      <c r="DM45" s="2">
        <v>42909.998670000001</v>
      </c>
      <c r="DN45" s="2">
        <v>0</v>
      </c>
    </row>
    <row r="46" spans="1:118" x14ac:dyDescent="0.2">
      <c r="A46" s="3" t="s">
        <v>30</v>
      </c>
      <c r="B46" s="8">
        <v>13.894729834892001</v>
      </c>
      <c r="C46" s="8">
        <v>0</v>
      </c>
      <c r="D46" s="1"/>
      <c r="E46" s="1"/>
      <c r="F46" s="1"/>
      <c r="G46" s="1"/>
      <c r="H46" s="1"/>
      <c r="I46" s="1"/>
      <c r="J46" s="1"/>
      <c r="K46" s="1"/>
      <c r="M46" s="1"/>
      <c r="N46" s="1"/>
      <c r="O46" s="1"/>
      <c r="P46" s="1"/>
      <c r="R46" s="1"/>
      <c r="S46" s="1"/>
      <c r="T46" s="1"/>
      <c r="U46" s="1"/>
      <c r="BK46" s="14" t="s">
        <v>103</v>
      </c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O46" s="13" t="s">
        <v>104</v>
      </c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</row>
    <row r="47" spans="1:118" hidden="1" x14ac:dyDescent="0.2">
      <c r="A47" s="3" t="s">
        <v>29</v>
      </c>
      <c r="B47" s="8">
        <v>134.58699587643</v>
      </c>
      <c r="C47" s="8">
        <v>0</v>
      </c>
      <c r="D47" s="1"/>
      <c r="E47" s="1"/>
      <c r="F47" s="1"/>
      <c r="G47" s="1"/>
      <c r="H47" s="1"/>
      <c r="I47" s="1"/>
      <c r="J47" s="1"/>
      <c r="K47" s="1"/>
      <c r="M47" s="1"/>
      <c r="N47" s="1"/>
      <c r="O47" s="1"/>
      <c r="P47" s="1"/>
      <c r="R47" s="1"/>
      <c r="S47" s="1"/>
      <c r="T47" s="1"/>
      <c r="U47" s="1"/>
    </row>
    <row r="48" spans="1:118" hidden="1" x14ac:dyDescent="0.2">
      <c r="A48" s="3" t="s">
        <v>27</v>
      </c>
      <c r="B48" s="8">
        <v>4.8328734732758001</v>
      </c>
      <c r="C48" s="8">
        <v>0</v>
      </c>
      <c r="D48" s="1"/>
      <c r="E48" s="1"/>
      <c r="F48" s="1"/>
      <c r="G48" s="1"/>
      <c r="H48" s="1"/>
      <c r="I48" s="1"/>
      <c r="J48" s="1"/>
      <c r="K48" s="1"/>
      <c r="M48" s="1"/>
      <c r="N48" s="1"/>
      <c r="O48" s="1"/>
      <c r="P48" s="1"/>
      <c r="R48" s="1"/>
      <c r="S48" s="1"/>
      <c r="T48" s="1"/>
      <c r="U48" s="1"/>
    </row>
    <row r="49" spans="1:71" hidden="1" x14ac:dyDescent="0.2">
      <c r="A49" s="3" t="s">
        <v>26</v>
      </c>
      <c r="B49" s="8">
        <v>2.4537243968652998E-2</v>
      </c>
      <c r="C49" s="8">
        <v>2.9520080000000001E-2</v>
      </c>
      <c r="D49" s="1"/>
      <c r="E49" s="1"/>
      <c r="F49" s="1"/>
      <c r="G49" s="1"/>
      <c r="H49" s="1"/>
      <c r="I49" s="1"/>
      <c r="J49" s="1"/>
      <c r="K49" s="1"/>
      <c r="M49" s="1"/>
      <c r="N49" s="1"/>
      <c r="O49" s="1"/>
      <c r="P49" s="1"/>
      <c r="R49" s="1"/>
      <c r="S49" s="1"/>
      <c r="T49" s="1"/>
      <c r="U49" s="1"/>
    </row>
    <row r="50" spans="1:71" hidden="1" x14ac:dyDescent="0.2">
      <c r="A50" s="3" t="s">
        <v>25</v>
      </c>
      <c r="B50" s="8">
        <v>66.682419111564002</v>
      </c>
      <c r="C50" s="8">
        <v>0</v>
      </c>
      <c r="D50" s="1"/>
      <c r="E50" s="1"/>
      <c r="F50" s="1"/>
      <c r="G50" s="1"/>
      <c r="H50" s="1"/>
      <c r="I50" s="1"/>
      <c r="J50" s="1"/>
      <c r="K50" s="1"/>
      <c r="M50" s="1"/>
      <c r="N50" s="1"/>
      <c r="O50" s="1"/>
      <c r="P50" s="1"/>
      <c r="R50" s="1"/>
      <c r="S50" s="1"/>
      <c r="T50" s="1"/>
      <c r="U50" s="1"/>
    </row>
    <row r="51" spans="1:71" hidden="1" x14ac:dyDescent="0.2">
      <c r="A51" s="3" t="s">
        <v>54</v>
      </c>
      <c r="B51" s="8">
        <v>0</v>
      </c>
      <c r="C51" s="8">
        <v>8.3152801916768002</v>
      </c>
      <c r="D51" s="1"/>
      <c r="E51" s="1"/>
      <c r="F51" s="1"/>
      <c r="G51" s="1"/>
      <c r="H51" s="1"/>
      <c r="I51" s="1"/>
      <c r="J51" s="1"/>
      <c r="K51" s="1"/>
      <c r="M51" s="1"/>
      <c r="N51" s="1"/>
      <c r="O51" s="1"/>
      <c r="P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71" hidden="1" x14ac:dyDescent="0.2">
      <c r="A52" s="3" t="s">
        <v>24</v>
      </c>
      <c r="B52" s="8">
        <v>20.72619293088</v>
      </c>
      <c r="C52" s="8">
        <v>0</v>
      </c>
      <c r="D52" s="1"/>
      <c r="E52" s="1"/>
      <c r="F52" s="1"/>
      <c r="G52" s="1"/>
      <c r="H52" s="1"/>
      <c r="I52" s="1"/>
      <c r="J52" s="1"/>
      <c r="K52" s="1"/>
      <c r="M52" s="1"/>
      <c r="N52" s="1"/>
      <c r="O52" s="1"/>
      <c r="P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71" hidden="1" x14ac:dyDescent="0.2">
      <c r="A53" s="3" t="s">
        <v>55</v>
      </c>
      <c r="B53" s="8">
        <v>0</v>
      </c>
      <c r="C53" s="8">
        <v>0.23511241028546001</v>
      </c>
      <c r="D53" s="1"/>
      <c r="E53" s="1"/>
      <c r="F53" s="1"/>
      <c r="G53" s="1"/>
      <c r="H53" s="1"/>
      <c r="I53" s="1"/>
      <c r="J53" s="1"/>
      <c r="K53" s="1"/>
      <c r="M53" s="1"/>
      <c r="N53" s="1"/>
      <c r="O53" s="1"/>
      <c r="P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BR53" s="16"/>
      <c r="BS53" s="16"/>
    </row>
    <row r="54" spans="1:71" hidden="1" x14ac:dyDescent="0.2">
      <c r="A54" s="3" t="s">
        <v>23</v>
      </c>
      <c r="B54" s="8">
        <v>11.722790773811001</v>
      </c>
      <c r="C54" s="8">
        <v>0</v>
      </c>
      <c r="D54" s="1"/>
      <c r="E54" s="1"/>
      <c r="F54" s="1"/>
      <c r="G54" s="1"/>
      <c r="H54" s="1"/>
      <c r="I54" s="1"/>
      <c r="J54" s="1"/>
      <c r="K54" s="1"/>
      <c r="M54" s="1"/>
      <c r="N54" s="1"/>
      <c r="O54" s="1"/>
      <c r="P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BR54" s="17"/>
      <c r="BS54" s="17"/>
    </row>
    <row r="55" spans="1:71" hidden="1" x14ac:dyDescent="0.2">
      <c r="A55" s="3" t="s">
        <v>56</v>
      </c>
      <c r="B55" s="8">
        <v>0</v>
      </c>
      <c r="C55" s="8">
        <v>41.109734029244002</v>
      </c>
      <c r="D55" s="1"/>
      <c r="E55" s="1"/>
      <c r="F55" s="1"/>
      <c r="G55" s="1"/>
      <c r="H55" s="1"/>
      <c r="I55" s="1"/>
      <c r="J55" s="1"/>
      <c r="K55" s="1"/>
      <c r="M55" s="1"/>
      <c r="N55" s="1"/>
      <c r="O55" s="1"/>
      <c r="P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71" hidden="1" x14ac:dyDescent="0.2">
      <c r="A56" s="3" t="s">
        <v>22</v>
      </c>
      <c r="B56" s="8">
        <v>351.12025842441</v>
      </c>
      <c r="C56" s="8">
        <v>0</v>
      </c>
      <c r="D56" s="1"/>
      <c r="E56" s="1"/>
      <c r="F56" s="1"/>
      <c r="G56" s="1"/>
      <c r="H56" s="1"/>
      <c r="I56" s="1"/>
      <c r="J56" s="1"/>
      <c r="K56" s="1"/>
      <c r="M56" s="1"/>
      <c r="N56" s="1"/>
      <c r="O56" s="1"/>
      <c r="P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71" hidden="1" x14ac:dyDescent="0.2">
      <c r="A57" s="3" t="s">
        <v>57</v>
      </c>
      <c r="B57" s="8">
        <v>0</v>
      </c>
      <c r="C57" s="8">
        <v>1213.8817703361999</v>
      </c>
      <c r="D57" s="1"/>
      <c r="E57" s="1"/>
      <c r="F57" s="1"/>
      <c r="G57" s="1"/>
      <c r="H57" s="1"/>
      <c r="I57" s="1"/>
      <c r="J57" s="1"/>
      <c r="K57" s="1"/>
      <c r="M57" s="1"/>
      <c r="N57" s="1"/>
      <c r="O57" s="1"/>
      <c r="P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71" hidden="1" x14ac:dyDescent="0.2">
      <c r="A58" s="3" t="s">
        <v>58</v>
      </c>
      <c r="B58" s="8">
        <v>0</v>
      </c>
      <c r="C58" s="8">
        <v>2485.8598537500002</v>
      </c>
      <c r="D58" s="1"/>
      <c r="E58" s="1"/>
      <c r="F58" s="1"/>
      <c r="G58" s="1"/>
      <c r="H58" s="1"/>
      <c r="I58" s="1"/>
      <c r="J58" s="1"/>
      <c r="K58" s="1"/>
      <c r="M58" s="1"/>
      <c r="N58" s="1"/>
      <c r="O58" s="1"/>
      <c r="P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71" hidden="1" x14ac:dyDescent="0.2">
      <c r="A59" s="3" t="s">
        <v>21</v>
      </c>
      <c r="B59" s="8">
        <v>10.981003594759001</v>
      </c>
      <c r="C59" s="8">
        <v>0</v>
      </c>
      <c r="D59" s="1"/>
      <c r="E59" s="1"/>
      <c r="F59" s="1"/>
      <c r="G59" s="1"/>
      <c r="H59" s="1"/>
      <c r="I59" s="1"/>
      <c r="J59" s="1"/>
      <c r="K59" s="1"/>
      <c r="M59" s="1"/>
      <c r="N59" s="1"/>
      <c r="O59" s="1"/>
      <c r="P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71" hidden="1" x14ac:dyDescent="0.2">
      <c r="A60" s="3" t="s">
        <v>20</v>
      </c>
      <c r="B60" s="8">
        <v>4.7239291045123002</v>
      </c>
      <c r="C60" s="8">
        <v>0</v>
      </c>
      <c r="D60" s="1"/>
      <c r="E60" s="1"/>
      <c r="F60" s="1"/>
      <c r="G60" s="1"/>
      <c r="H60" s="1"/>
      <c r="I60" s="1"/>
      <c r="J60" s="1"/>
      <c r="K60" s="1"/>
      <c r="M60" s="1"/>
      <c r="N60" s="1"/>
      <c r="O60" s="1"/>
      <c r="P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71" hidden="1" x14ac:dyDescent="0.2">
      <c r="A61" s="3" t="s">
        <v>19</v>
      </c>
      <c r="B61" s="8">
        <v>1855.3143386280001</v>
      </c>
      <c r="C61" s="8">
        <v>0</v>
      </c>
      <c r="D61" s="1"/>
      <c r="E61" s="1"/>
      <c r="F61" s="1"/>
      <c r="G61" s="1"/>
      <c r="H61" s="1"/>
      <c r="I61" s="1"/>
      <c r="J61" s="1"/>
      <c r="K61" s="1"/>
      <c r="M61" s="1"/>
      <c r="N61" s="1"/>
      <c r="O61" s="1"/>
      <c r="P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71" hidden="1" x14ac:dyDescent="0.2">
      <c r="A62" s="3" t="s">
        <v>59</v>
      </c>
      <c r="B62" s="8">
        <v>0</v>
      </c>
      <c r="C62" s="8">
        <v>339.73875560199002</v>
      </c>
      <c r="D62" s="1"/>
      <c r="E62" s="1"/>
      <c r="F62" s="1"/>
      <c r="G62" s="1"/>
      <c r="H62" s="1"/>
      <c r="I62" s="1"/>
      <c r="J62" s="1"/>
      <c r="K62" s="1"/>
      <c r="M62" s="1"/>
      <c r="N62" s="1"/>
      <c r="O62" s="1"/>
      <c r="P62" s="1"/>
      <c r="R62" s="1"/>
      <c r="S62" s="1"/>
      <c r="T62" s="1"/>
      <c r="U62" s="1"/>
    </row>
    <row r="63" spans="1:71" hidden="1" x14ac:dyDescent="0.2">
      <c r="A63" s="3" t="s">
        <v>60</v>
      </c>
      <c r="B63" s="8">
        <v>0</v>
      </c>
      <c r="C63" s="8">
        <v>2485.8598537500002</v>
      </c>
      <c r="D63" s="1"/>
      <c r="E63" s="1"/>
      <c r="F63" s="1"/>
      <c r="G63" s="1"/>
      <c r="H63" s="1"/>
      <c r="I63" s="1"/>
      <c r="J63" s="1"/>
      <c r="K63" s="1"/>
      <c r="M63" s="1"/>
      <c r="N63" s="1"/>
      <c r="O63" s="1"/>
      <c r="P63" s="1"/>
      <c r="R63" s="1"/>
      <c r="S63" s="1"/>
      <c r="T63" s="1"/>
      <c r="U63" s="1"/>
    </row>
    <row r="64" spans="1:71" hidden="1" x14ac:dyDescent="0.2">
      <c r="A64" s="3" t="s">
        <v>18</v>
      </c>
      <c r="B64" s="8">
        <v>73.809561478158003</v>
      </c>
      <c r="C64" s="8">
        <v>0</v>
      </c>
      <c r="D64" s="1"/>
      <c r="E64" s="1"/>
      <c r="F64" s="1"/>
      <c r="G64" s="1"/>
      <c r="H64" s="1"/>
      <c r="I64" s="1"/>
      <c r="J64" s="1"/>
      <c r="K64" s="1"/>
      <c r="M64" s="1"/>
      <c r="N64" s="1"/>
      <c r="O64" s="1"/>
      <c r="P64" s="1"/>
      <c r="R64" s="1"/>
      <c r="S64" s="1"/>
      <c r="T64" s="1"/>
      <c r="U64" s="1"/>
    </row>
    <row r="65" spans="1:37" hidden="1" x14ac:dyDescent="0.2">
      <c r="A65" s="3" t="s">
        <v>61</v>
      </c>
      <c r="B65" s="8">
        <v>0</v>
      </c>
      <c r="C65" s="8">
        <v>87.033979061799997</v>
      </c>
      <c r="D65" s="1"/>
      <c r="E65" s="1"/>
      <c r="F65" s="1"/>
      <c r="G65" s="1"/>
      <c r="H65" s="1"/>
      <c r="I65" s="1"/>
      <c r="J65" s="1"/>
      <c r="K65" s="1"/>
      <c r="M65" s="1"/>
      <c r="N65" s="1"/>
      <c r="O65" s="1"/>
      <c r="P65" s="1"/>
      <c r="R65" s="1"/>
      <c r="S65" s="1"/>
      <c r="T65" s="1"/>
      <c r="U65" s="1"/>
    </row>
    <row r="66" spans="1:37" hidden="1" x14ac:dyDescent="0.2">
      <c r="A66" s="3" t="s">
        <v>62</v>
      </c>
      <c r="B66" s="8">
        <v>0</v>
      </c>
      <c r="C66" s="8">
        <v>11600.6793175</v>
      </c>
      <c r="D66" s="1"/>
      <c r="E66" s="1"/>
      <c r="F66" s="1"/>
      <c r="G66" s="1"/>
      <c r="H66" s="1"/>
      <c r="I66" s="1"/>
      <c r="J66" s="1"/>
      <c r="K66" s="1"/>
      <c r="M66" s="1"/>
      <c r="N66" s="1"/>
      <c r="O66" s="1"/>
      <c r="P66" s="1"/>
      <c r="R66" s="1"/>
      <c r="S66" s="1"/>
      <c r="T66" s="1"/>
      <c r="U66" s="1"/>
    </row>
    <row r="67" spans="1:37" hidden="1" x14ac:dyDescent="0.2">
      <c r="A67" s="3" t="s">
        <v>17</v>
      </c>
      <c r="B67" s="8">
        <v>2.1592437759009999</v>
      </c>
      <c r="C67" s="8">
        <v>0</v>
      </c>
      <c r="D67" s="1"/>
      <c r="E67" s="1"/>
      <c r="F67" s="1"/>
      <c r="G67" s="1"/>
      <c r="H67" s="1"/>
      <c r="I67" s="1"/>
      <c r="J67" s="1"/>
      <c r="K67" s="1"/>
      <c r="M67" s="1"/>
      <c r="N67" s="1"/>
      <c r="O67" s="1"/>
      <c r="P67" s="1"/>
      <c r="R67" s="1"/>
      <c r="S67" s="1"/>
      <c r="T67" s="1"/>
      <c r="U67" s="1"/>
    </row>
    <row r="68" spans="1:37" hidden="1" x14ac:dyDescent="0.2">
      <c r="B68" s="12" t="s">
        <v>16</v>
      </c>
      <c r="C68" s="12"/>
    </row>
    <row r="69" spans="1:37" hidden="1" x14ac:dyDescent="0.2">
      <c r="B69" t="s">
        <v>15</v>
      </c>
    </row>
    <row r="70" spans="1:37" hidden="1" x14ac:dyDescent="0.2"/>
    <row r="71" spans="1:37" hidden="1" x14ac:dyDescent="0.2"/>
    <row r="72" spans="1:37" hidden="1" x14ac:dyDescent="0.2"/>
    <row r="73" spans="1:37" hidden="1" x14ac:dyDescent="0.2"/>
    <row r="74" spans="1:37" hidden="1" x14ac:dyDescent="0.2"/>
    <row r="75" spans="1:37" ht="244" hidden="1" x14ac:dyDescent="0.2">
      <c r="B75" t="s">
        <v>73</v>
      </c>
      <c r="L75" s="4" t="s">
        <v>14</v>
      </c>
      <c r="M75" s="4" t="s">
        <v>13</v>
      </c>
      <c r="N75" s="4" t="s">
        <v>12</v>
      </c>
      <c r="O75" s="4" t="s">
        <v>98</v>
      </c>
      <c r="P75" s="4" t="s">
        <v>11</v>
      </c>
      <c r="Q75" s="4" t="s">
        <v>10</v>
      </c>
      <c r="R75" s="4" t="s">
        <v>9</v>
      </c>
      <c r="S75" s="4" t="s">
        <v>8</v>
      </c>
      <c r="T75" s="4" t="s">
        <v>7</v>
      </c>
      <c r="U75" s="4" t="s">
        <v>63</v>
      </c>
      <c r="V75" s="4" t="s">
        <v>6</v>
      </c>
      <c r="W75" s="4" t="s">
        <v>64</v>
      </c>
      <c r="X75" s="4" t="s">
        <v>5</v>
      </c>
      <c r="Y75" s="4" t="s">
        <v>65</v>
      </c>
      <c r="Z75" s="4" t="s">
        <v>4</v>
      </c>
      <c r="AA75" s="4" t="s">
        <v>66</v>
      </c>
      <c r="AB75" s="4" t="s">
        <v>67</v>
      </c>
      <c r="AC75" s="4" t="s">
        <v>3</v>
      </c>
      <c r="AD75" s="4" t="s">
        <v>68</v>
      </c>
      <c r="AE75" s="4" t="s">
        <v>2</v>
      </c>
      <c r="AF75" s="4" t="s">
        <v>69</v>
      </c>
      <c r="AG75" s="4" t="s">
        <v>70</v>
      </c>
      <c r="AH75" s="4" t="s">
        <v>1</v>
      </c>
      <c r="AI75" s="4" t="s">
        <v>71</v>
      </c>
      <c r="AJ75" s="4" t="s">
        <v>72</v>
      </c>
      <c r="AK75" s="4" t="s">
        <v>0</v>
      </c>
    </row>
    <row r="76" spans="1:37" hidden="1" x14ac:dyDescent="0.2">
      <c r="A76" s="3" t="s">
        <v>14</v>
      </c>
      <c r="B76">
        <v>0.51200000000000001</v>
      </c>
      <c r="G76" s="3" t="s">
        <v>14</v>
      </c>
      <c r="H76" s="2">
        <v>0.51200000000000001</v>
      </c>
      <c r="K76" s="3" t="s">
        <v>14</v>
      </c>
      <c r="L76" s="2">
        <f>1/H76</f>
        <v>1.953125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</row>
    <row r="77" spans="1:37" hidden="1" x14ac:dyDescent="0.2">
      <c r="A77" s="3" t="s">
        <v>13</v>
      </c>
      <c r="B77">
        <v>0.254352941176471</v>
      </c>
      <c r="G77" s="3" t="s">
        <v>13</v>
      </c>
      <c r="H77" s="2">
        <v>0.254352941176471</v>
      </c>
      <c r="K77" s="3" t="s">
        <v>13</v>
      </c>
      <c r="L77" s="2">
        <v>0</v>
      </c>
      <c r="M77" s="2">
        <f>1/H77</f>
        <v>3.9315448658649332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</row>
    <row r="78" spans="1:37" hidden="1" x14ac:dyDescent="0.2">
      <c r="A78" s="3" t="s">
        <v>74</v>
      </c>
      <c r="B78">
        <v>0.71295939614783999</v>
      </c>
      <c r="G78" s="3" t="s">
        <v>12</v>
      </c>
      <c r="H78" s="11"/>
      <c r="K78" s="3" t="s">
        <v>12</v>
      </c>
      <c r="L78" s="2">
        <v>0</v>
      </c>
      <c r="M78" s="2">
        <v>0</v>
      </c>
      <c r="N78" s="11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</row>
    <row r="79" spans="1:37" hidden="1" x14ac:dyDescent="0.2">
      <c r="A79" s="3" t="s">
        <v>75</v>
      </c>
      <c r="B79">
        <v>2.6160283298587401E-2</v>
      </c>
      <c r="G79" s="3" t="s">
        <v>98</v>
      </c>
      <c r="H79" s="11"/>
      <c r="K79" s="3" t="s">
        <v>98</v>
      </c>
      <c r="L79" s="2">
        <v>0</v>
      </c>
      <c r="M79" s="2">
        <v>0</v>
      </c>
      <c r="N79" s="2">
        <v>0</v>
      </c>
      <c r="O79" s="11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</row>
    <row r="80" spans="1:37" hidden="1" x14ac:dyDescent="0.2">
      <c r="A80" s="3" t="s">
        <v>76</v>
      </c>
      <c r="B80">
        <v>0.15678280846805301</v>
      </c>
      <c r="G80" s="3" t="s">
        <v>11</v>
      </c>
      <c r="H80" s="2">
        <v>0.10077519379845</v>
      </c>
      <c r="K80" s="3" t="s">
        <v>11</v>
      </c>
      <c r="L80" s="2">
        <v>0</v>
      </c>
      <c r="M80" s="2">
        <v>0</v>
      </c>
      <c r="N80" s="2">
        <v>0</v>
      </c>
      <c r="O80" s="2">
        <v>0</v>
      </c>
      <c r="P80" s="2">
        <f>1/H80</f>
        <v>9.9230769230768843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</row>
    <row r="81" spans="1:37" hidden="1" x14ac:dyDescent="0.2">
      <c r="A81" s="3" t="s">
        <v>8</v>
      </c>
      <c r="B81">
        <v>1E-3</v>
      </c>
      <c r="G81" s="3" t="s">
        <v>10</v>
      </c>
      <c r="H81" s="11"/>
      <c r="K81" s="3" t="s">
        <v>10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11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</row>
    <row r="82" spans="1:37" hidden="1" x14ac:dyDescent="0.2">
      <c r="A82" s="3" t="s">
        <v>77</v>
      </c>
      <c r="B82">
        <v>0.29336517562641901</v>
      </c>
      <c r="G82" s="3" t="s">
        <v>9</v>
      </c>
      <c r="H82" s="2">
        <v>0.32650000000000001</v>
      </c>
      <c r="K82" s="3" t="s">
        <v>9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f>1/H82</f>
        <v>3.0627871362940273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</row>
    <row r="83" spans="1:37" hidden="1" x14ac:dyDescent="0.2">
      <c r="A83" s="3" t="s">
        <v>78</v>
      </c>
      <c r="B83">
        <v>0.16941460853805199</v>
      </c>
      <c r="G83" s="3" t="s">
        <v>8</v>
      </c>
      <c r="H83" s="2">
        <v>1E-3</v>
      </c>
      <c r="K83" s="3" t="s">
        <v>8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f>1/H83</f>
        <v>1000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</row>
    <row r="84" spans="1:37" hidden="1" x14ac:dyDescent="0.2">
      <c r="A84" s="3" t="s">
        <v>79</v>
      </c>
      <c r="B84">
        <v>0.2712</v>
      </c>
      <c r="G84" s="3" t="s">
        <v>7</v>
      </c>
      <c r="H84" s="2">
        <v>0.594510484702647</v>
      </c>
      <c r="K84" s="3" t="s">
        <v>7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f>1/H84</f>
        <v>1.6820561213485821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</row>
    <row r="85" spans="1:37" hidden="1" x14ac:dyDescent="0.2">
      <c r="A85" s="3" t="s">
        <v>80</v>
      </c>
      <c r="B85">
        <v>0.28972434600000002</v>
      </c>
      <c r="G85" s="3" t="s">
        <v>63</v>
      </c>
      <c r="H85" s="2">
        <v>3.5210271244508699E-2</v>
      </c>
      <c r="K85" s="3" t="s">
        <v>63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f>1/H85</f>
        <v>28.400803647769607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</row>
    <row r="86" spans="1:37" hidden="1" x14ac:dyDescent="0.2">
      <c r="A86" s="3" t="s">
        <v>63</v>
      </c>
      <c r="B86">
        <v>3.5210271244508699E-2</v>
      </c>
      <c r="G86" s="3" t="s">
        <v>6</v>
      </c>
      <c r="H86" s="2">
        <v>0.151833515076021</v>
      </c>
      <c r="K86" s="3" t="s">
        <v>6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f>1/H86</f>
        <v>6.5861611614491933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</row>
    <row r="87" spans="1:37" hidden="1" x14ac:dyDescent="0.2">
      <c r="A87" s="3" t="s">
        <v>81</v>
      </c>
      <c r="B87">
        <v>0.76182176530961299</v>
      </c>
      <c r="G87" s="3" t="s">
        <v>64</v>
      </c>
      <c r="H87" s="2">
        <v>2.6548303198530299E-3</v>
      </c>
      <c r="K87" s="3" t="s">
        <v>64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f>1/H87</f>
        <v>376.67190724842993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</row>
    <row r="88" spans="1:37" hidden="1" x14ac:dyDescent="0.2">
      <c r="A88" s="3" t="s">
        <v>0</v>
      </c>
      <c r="B88">
        <v>0.588913887374242</v>
      </c>
      <c r="G88" s="3" t="s">
        <v>5</v>
      </c>
      <c r="H88" s="2">
        <v>0.23369608895987701</v>
      </c>
      <c r="K88" s="3" t="s">
        <v>5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f>1/H88</f>
        <v>4.2790617697144633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</row>
    <row r="89" spans="1:37" hidden="1" x14ac:dyDescent="0.2">
      <c r="A89" s="3" t="s">
        <v>82</v>
      </c>
      <c r="B89">
        <v>9.6847826086956496E-2</v>
      </c>
      <c r="G89" s="3" t="s">
        <v>65</v>
      </c>
      <c r="H89" s="2">
        <v>0.174075299039015</v>
      </c>
      <c r="K89" s="3" t="s">
        <v>65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f>1/H89</f>
        <v>5.7446404258416512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</row>
    <row r="90" spans="1:37" hidden="1" x14ac:dyDescent="0.2">
      <c r="A90" s="3" t="s">
        <v>83</v>
      </c>
      <c r="B90">
        <v>1</v>
      </c>
      <c r="G90" s="3" t="s">
        <v>4</v>
      </c>
      <c r="H90" s="2">
        <v>2.1029437311394301</v>
      </c>
      <c r="K90" s="3" t="s">
        <v>4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f>1/H90</f>
        <v>0.47552389785444887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</row>
    <row r="91" spans="1:37" hidden="1" x14ac:dyDescent="0.2">
      <c r="A91" s="3" t="s">
        <v>84</v>
      </c>
      <c r="B91">
        <v>0.79825750846153898</v>
      </c>
      <c r="G91" s="3" t="s">
        <v>66</v>
      </c>
      <c r="H91" s="11"/>
      <c r="K91" s="3" t="s">
        <v>66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11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</row>
    <row r="92" spans="1:37" hidden="1" x14ac:dyDescent="0.2">
      <c r="A92" s="3" t="s">
        <v>9</v>
      </c>
      <c r="B92">
        <v>0.32650000000000001</v>
      </c>
      <c r="G92" s="3" t="s">
        <v>67</v>
      </c>
      <c r="H92" s="2">
        <v>0.25</v>
      </c>
      <c r="K92" s="3" t="s">
        <v>67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f>1/H92</f>
        <v>4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</row>
    <row r="93" spans="1:37" hidden="1" x14ac:dyDescent="0.2">
      <c r="A93" s="3" t="s">
        <v>85</v>
      </c>
      <c r="B93">
        <v>0.31458165885387301</v>
      </c>
      <c r="G93" s="3" t="s">
        <v>3</v>
      </c>
      <c r="H93" s="2">
        <v>8.1081E-2</v>
      </c>
      <c r="K93" s="3" t="s">
        <v>3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f>1/H93</f>
        <v>12.333345666679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</row>
    <row r="94" spans="1:37" hidden="1" x14ac:dyDescent="0.2">
      <c r="A94" s="3" t="s">
        <v>86</v>
      </c>
      <c r="B94">
        <v>0.62622727272727197</v>
      </c>
      <c r="G94" s="3" t="s">
        <v>68</v>
      </c>
      <c r="H94" s="2">
        <v>0.83825280000000002</v>
      </c>
      <c r="K94" s="3" t="s">
        <v>68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f>1/H94</f>
        <v>1.1929575421638914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</row>
    <row r="95" spans="1:37" hidden="1" x14ac:dyDescent="0.2">
      <c r="A95" s="3" t="s">
        <v>87</v>
      </c>
      <c r="B95">
        <v>0.45221259000000202</v>
      </c>
      <c r="G95" s="3" t="s">
        <v>2</v>
      </c>
      <c r="H95" s="2">
        <v>0.34719</v>
      </c>
      <c r="K95" s="3" t="s">
        <v>2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f>1/H95</f>
        <v>2.8802672888044012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</row>
    <row r="96" spans="1:37" hidden="1" x14ac:dyDescent="0.2">
      <c r="A96" s="3" t="s">
        <v>88</v>
      </c>
      <c r="B96">
        <v>0.13553168683044201</v>
      </c>
      <c r="G96" s="3" t="s">
        <v>69</v>
      </c>
      <c r="H96" s="2">
        <v>0.45</v>
      </c>
      <c r="K96" s="3" t="s">
        <v>69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f>1/H96</f>
        <v>2.2222222222222223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</row>
    <row r="97" spans="1:37" hidden="1" x14ac:dyDescent="0.2">
      <c r="A97" s="3" t="s">
        <v>89</v>
      </c>
      <c r="B97">
        <v>0.18049288863615701</v>
      </c>
      <c r="G97" s="3" t="s">
        <v>70</v>
      </c>
      <c r="H97" s="2">
        <v>0.25</v>
      </c>
      <c r="K97" s="3" t="s">
        <v>70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f>1/H97</f>
        <v>4</v>
      </c>
      <c r="AH97" s="2">
        <v>0</v>
      </c>
      <c r="AI97" s="2">
        <v>0</v>
      </c>
      <c r="AJ97" s="2">
        <v>0</v>
      </c>
      <c r="AK97" s="2">
        <v>0</v>
      </c>
    </row>
    <row r="98" spans="1:37" hidden="1" x14ac:dyDescent="0.2">
      <c r="A98" s="3" t="s">
        <v>4</v>
      </c>
      <c r="B98">
        <v>2.1029437311394301</v>
      </c>
      <c r="G98" s="3" t="s">
        <v>1</v>
      </c>
      <c r="H98" s="11"/>
      <c r="K98" s="3" t="s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11">
        <v>0</v>
      </c>
      <c r="AI98" s="2">
        <v>0</v>
      </c>
      <c r="AJ98" s="2">
        <v>0</v>
      </c>
      <c r="AK98" s="2">
        <v>0</v>
      </c>
    </row>
    <row r="99" spans="1:37" hidden="1" x14ac:dyDescent="0.2">
      <c r="A99" s="3" t="s">
        <v>6</v>
      </c>
      <c r="B99">
        <v>0.151833515076021</v>
      </c>
      <c r="G99" s="3" t="s">
        <v>71</v>
      </c>
      <c r="H99" s="11"/>
      <c r="K99" s="3" t="s">
        <v>71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11">
        <v>0</v>
      </c>
      <c r="AJ99" s="2">
        <v>0</v>
      </c>
      <c r="AK99" s="2">
        <v>0</v>
      </c>
    </row>
    <row r="100" spans="1:37" hidden="1" x14ac:dyDescent="0.2">
      <c r="A100" s="3" t="s">
        <v>11</v>
      </c>
      <c r="B100">
        <v>0.10077519379845</v>
      </c>
      <c r="G100" s="3" t="s">
        <v>72</v>
      </c>
      <c r="H100" s="2">
        <v>0.25</v>
      </c>
      <c r="K100" s="3" t="s">
        <v>72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f>1/H100</f>
        <v>4</v>
      </c>
      <c r="AK100" s="2">
        <v>0</v>
      </c>
    </row>
    <row r="101" spans="1:37" hidden="1" x14ac:dyDescent="0.2">
      <c r="A101" s="3" t="s">
        <v>7</v>
      </c>
      <c r="B101">
        <v>0.594510484702647</v>
      </c>
      <c r="G101" s="3" t="s">
        <v>0</v>
      </c>
      <c r="H101" s="2">
        <v>0.588913887374242</v>
      </c>
      <c r="K101" s="3" t="s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f>1/H101</f>
        <v>1.6980411252630585</v>
      </c>
    </row>
    <row r="102" spans="1:37" hidden="1" x14ac:dyDescent="0.2">
      <c r="A102" s="3" t="s">
        <v>5</v>
      </c>
      <c r="B102">
        <v>0.23369608895987701</v>
      </c>
      <c r="H102" s="6" t="s">
        <v>99</v>
      </c>
      <c r="L102" s="13" t="s">
        <v>100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spans="1:37" hidden="1" x14ac:dyDescent="0.2">
      <c r="A103" s="3" t="s">
        <v>90</v>
      </c>
      <c r="B103">
        <v>0.4</v>
      </c>
    </row>
    <row r="104" spans="1:37" hidden="1" x14ac:dyDescent="0.2">
      <c r="A104" s="3" t="s">
        <v>69</v>
      </c>
      <c r="B104">
        <v>0.45</v>
      </c>
    </row>
    <row r="105" spans="1:37" hidden="1" x14ac:dyDescent="0.2">
      <c r="A105" s="3" t="s">
        <v>3</v>
      </c>
      <c r="B105">
        <v>8.1081E-2</v>
      </c>
    </row>
    <row r="106" spans="1:37" hidden="1" x14ac:dyDescent="0.2">
      <c r="A106" s="3" t="s">
        <v>91</v>
      </c>
      <c r="B106">
        <v>0.96257744986113203</v>
      </c>
    </row>
    <row r="107" spans="1:37" hidden="1" x14ac:dyDescent="0.2">
      <c r="A107" s="3" t="s">
        <v>92</v>
      </c>
      <c r="B107">
        <v>1</v>
      </c>
    </row>
    <row r="108" spans="1:37" hidden="1" x14ac:dyDescent="0.2">
      <c r="A108" s="3" t="s">
        <v>93</v>
      </c>
      <c r="B108">
        <v>1</v>
      </c>
    </row>
    <row r="109" spans="1:37" hidden="1" x14ac:dyDescent="0.2">
      <c r="A109" s="3" t="s">
        <v>68</v>
      </c>
      <c r="B109">
        <v>0.83825280000000002</v>
      </c>
    </row>
    <row r="110" spans="1:37" hidden="1" x14ac:dyDescent="0.2">
      <c r="A110" s="3" t="s">
        <v>94</v>
      </c>
      <c r="B110">
        <v>1E-3</v>
      </c>
    </row>
    <row r="111" spans="1:37" hidden="1" x14ac:dyDescent="0.2">
      <c r="A111" s="3" t="s">
        <v>95</v>
      </c>
      <c r="B111">
        <v>0.95833058794241399</v>
      </c>
    </row>
    <row r="112" spans="1:37" hidden="1" x14ac:dyDescent="0.2">
      <c r="A112" s="3" t="s">
        <v>65</v>
      </c>
      <c r="B112">
        <v>0.174075299039015</v>
      </c>
    </row>
    <row r="113" spans="1:51" hidden="1" x14ac:dyDescent="0.2">
      <c r="A113" s="3" t="s">
        <v>96</v>
      </c>
      <c r="B113">
        <v>1.5458064516129</v>
      </c>
    </row>
    <row r="114" spans="1:51" hidden="1" x14ac:dyDescent="0.2">
      <c r="A114" s="3" t="s">
        <v>2</v>
      </c>
      <c r="B114">
        <v>0.34719</v>
      </c>
    </row>
    <row r="115" spans="1:51" hidden="1" x14ac:dyDescent="0.2">
      <c r="A115" s="3" t="s">
        <v>64</v>
      </c>
      <c r="B115">
        <v>2.6548303198530299E-3</v>
      </c>
    </row>
    <row r="116" spans="1:51" hidden="1" x14ac:dyDescent="0.2">
      <c r="A116" s="3" t="s">
        <v>97</v>
      </c>
      <c r="B116">
        <v>0.259072757905773</v>
      </c>
    </row>
    <row r="117" spans="1:51" hidden="1" x14ac:dyDescent="0.2">
      <c r="A117" s="3" t="s">
        <v>67</v>
      </c>
      <c r="B117">
        <v>0.25</v>
      </c>
    </row>
    <row r="118" spans="1:51" hidden="1" x14ac:dyDescent="0.2">
      <c r="A118" s="3" t="s">
        <v>70</v>
      </c>
      <c r="B118">
        <v>0.25</v>
      </c>
    </row>
    <row r="119" spans="1:51" hidden="1" x14ac:dyDescent="0.2">
      <c r="A119" s="3" t="s">
        <v>72</v>
      </c>
      <c r="B119">
        <v>0.25</v>
      </c>
    </row>
    <row r="120" spans="1:51" hidden="1" x14ac:dyDescent="0.2"/>
    <row r="121" spans="1:51" hidden="1" x14ac:dyDescent="0.2"/>
    <row r="122" spans="1:51" hidden="1" x14ac:dyDescent="0.2"/>
    <row r="123" spans="1:51" ht="244" hidden="1" x14ac:dyDescent="0.2">
      <c r="B123" s="4" t="s">
        <v>14</v>
      </c>
      <c r="C123" s="4" t="s">
        <v>13</v>
      </c>
      <c r="D123" s="4" t="s">
        <v>12</v>
      </c>
      <c r="E123" s="4" t="s">
        <v>98</v>
      </c>
      <c r="F123" s="4" t="s">
        <v>11</v>
      </c>
      <c r="G123" s="4" t="s">
        <v>10</v>
      </c>
      <c r="H123" s="4" t="s">
        <v>9</v>
      </c>
      <c r="I123" s="4" t="s">
        <v>8</v>
      </c>
      <c r="J123" s="4" t="s">
        <v>7</v>
      </c>
      <c r="K123" s="4" t="s">
        <v>63</v>
      </c>
      <c r="L123" s="4" t="s">
        <v>6</v>
      </c>
      <c r="M123" s="4" t="s">
        <v>64</v>
      </c>
      <c r="N123" s="4" t="s">
        <v>5</v>
      </c>
      <c r="O123" s="4" t="s">
        <v>65</v>
      </c>
      <c r="P123" s="4" t="s">
        <v>4</v>
      </c>
      <c r="Q123" s="4" t="s">
        <v>66</v>
      </c>
      <c r="R123" s="4" t="s">
        <v>67</v>
      </c>
      <c r="S123" s="4" t="s">
        <v>3</v>
      </c>
      <c r="T123" s="4" t="s">
        <v>68</v>
      </c>
      <c r="U123" s="4" t="s">
        <v>2</v>
      </c>
      <c r="V123" s="4" t="s">
        <v>69</v>
      </c>
      <c r="W123" s="4" t="s">
        <v>70</v>
      </c>
      <c r="X123" s="4" t="s">
        <v>1</v>
      </c>
      <c r="Y123" s="4" t="s">
        <v>71</v>
      </c>
      <c r="Z123" s="4" t="s">
        <v>72</v>
      </c>
      <c r="AA123" s="4" t="s">
        <v>0</v>
      </c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</row>
    <row r="124" spans="1:51" hidden="1" x14ac:dyDescent="0.2">
      <c r="A124" s="3" t="s">
        <v>107</v>
      </c>
      <c r="B124" s="24">
        <v>0</v>
      </c>
      <c r="C124" s="24">
        <v>0</v>
      </c>
      <c r="D124" s="24">
        <v>0</v>
      </c>
      <c r="E124" s="24">
        <v>0</v>
      </c>
      <c r="F124" s="24">
        <v>0</v>
      </c>
      <c r="G124" s="24">
        <v>0</v>
      </c>
      <c r="H124" s="24">
        <v>0</v>
      </c>
      <c r="I124" s="24">
        <v>0</v>
      </c>
      <c r="J124" s="24">
        <v>0</v>
      </c>
      <c r="K124" s="24">
        <v>0</v>
      </c>
      <c r="L124" s="24">
        <v>0</v>
      </c>
      <c r="M124" s="24">
        <v>0</v>
      </c>
      <c r="N124" s="24">
        <v>0</v>
      </c>
      <c r="O124" s="24">
        <v>0</v>
      </c>
      <c r="P124" s="24">
        <v>0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</row>
    <row r="125" spans="1:51" hidden="1" x14ac:dyDescent="0.2">
      <c r="A125" s="3" t="s">
        <v>45</v>
      </c>
      <c r="B125" s="24">
        <v>0</v>
      </c>
      <c r="C125" s="24">
        <v>0</v>
      </c>
      <c r="D125" s="24">
        <v>0</v>
      </c>
      <c r="E125" s="24">
        <v>0</v>
      </c>
      <c r="F125" s="24">
        <v>0</v>
      </c>
      <c r="G125" s="24">
        <v>0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24">
        <v>748.43970000000002</v>
      </c>
      <c r="S125" s="24">
        <v>0</v>
      </c>
      <c r="T125" s="24">
        <v>0</v>
      </c>
      <c r="U125" s="24">
        <v>0</v>
      </c>
      <c r="V125" s="24">
        <v>0</v>
      </c>
      <c r="W125" s="24">
        <v>748.43970000000002</v>
      </c>
      <c r="X125" s="24">
        <v>0</v>
      </c>
      <c r="Y125" s="24">
        <v>0</v>
      </c>
      <c r="Z125" s="24">
        <v>3492.7186000000002</v>
      </c>
      <c r="AA125" s="24">
        <v>0</v>
      </c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</row>
    <row r="126" spans="1:51" hidden="1" x14ac:dyDescent="0.2">
      <c r="A126" s="3" t="s">
        <v>108</v>
      </c>
      <c r="B126" s="24">
        <v>0</v>
      </c>
      <c r="C126" s="24">
        <v>0</v>
      </c>
      <c r="D126" s="24">
        <v>0</v>
      </c>
      <c r="E126" s="24">
        <v>0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</row>
    <row r="127" spans="1:51" hidden="1" x14ac:dyDescent="0.2">
      <c r="A127" s="3" t="s">
        <v>109</v>
      </c>
      <c r="B127" s="24">
        <v>286.76152730246997</v>
      </c>
      <c r="C127" s="24">
        <v>284.23271681389002</v>
      </c>
      <c r="D127" s="24">
        <v>0</v>
      </c>
      <c r="E127" s="24">
        <v>0</v>
      </c>
      <c r="F127" s="24">
        <v>599.30664270445004</v>
      </c>
      <c r="G127" s="24">
        <v>0</v>
      </c>
      <c r="H127" s="24">
        <v>16.498263478895002</v>
      </c>
      <c r="I127" s="24">
        <v>107.58945982553</v>
      </c>
      <c r="J127" s="24">
        <v>407.92555901421002</v>
      </c>
      <c r="K127" s="24">
        <v>236.16064</v>
      </c>
      <c r="L127" s="24">
        <v>292.32439207994003</v>
      </c>
      <c r="M127" s="24">
        <v>88.560239999999993</v>
      </c>
      <c r="N127" s="24">
        <v>248.15311078425</v>
      </c>
      <c r="O127" s="24">
        <v>236.16064</v>
      </c>
      <c r="P127" s="24">
        <v>351.53750242352999</v>
      </c>
      <c r="Q127" s="24">
        <v>0</v>
      </c>
      <c r="R127" s="24">
        <v>0</v>
      </c>
      <c r="S127" s="24">
        <v>485.30325915903001</v>
      </c>
      <c r="T127" s="24">
        <v>22.787423471392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6.4348511187881998</v>
      </c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</row>
    <row r="128" spans="1:51" hidden="1" x14ac:dyDescent="0.2">
      <c r="A128" s="3" t="s">
        <v>110</v>
      </c>
      <c r="B128" s="24">
        <v>0</v>
      </c>
      <c r="C128" s="24">
        <v>0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3698.4014000000002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</row>
    <row r="129" spans="1:51" hidden="1" x14ac:dyDescent="0.2">
      <c r="A129" s="3" t="s">
        <v>111</v>
      </c>
      <c r="B129" s="24">
        <v>0</v>
      </c>
      <c r="C129" s="24">
        <v>0</v>
      </c>
      <c r="D129" s="24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2035.0988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</row>
    <row r="130" spans="1:51" hidden="1" x14ac:dyDescent="0.2">
      <c r="A130" s="3" t="s">
        <v>34</v>
      </c>
      <c r="B130" s="24">
        <v>0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</row>
    <row r="131" spans="1:51" hidden="1" x14ac:dyDescent="0.2">
      <c r="A131" s="3" t="s">
        <v>33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</row>
    <row r="132" spans="1:51" hidden="1" x14ac:dyDescent="0.2">
      <c r="A132" s="3" t="s">
        <v>32</v>
      </c>
      <c r="B132" s="24">
        <v>0</v>
      </c>
      <c r="C132" s="24">
        <v>0</v>
      </c>
      <c r="D132" s="24">
        <v>0</v>
      </c>
      <c r="E132" s="24">
        <v>0</v>
      </c>
      <c r="F132" s="24">
        <v>0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</row>
    <row r="133" spans="1:51" hidden="1" x14ac:dyDescent="0.2">
      <c r="A133" s="3" t="s">
        <v>31</v>
      </c>
      <c r="B133" s="24">
        <v>0</v>
      </c>
      <c r="C133" s="24">
        <v>0</v>
      </c>
      <c r="D133" s="24">
        <v>0</v>
      </c>
      <c r="E133" s="24">
        <v>0</v>
      </c>
      <c r="F133" s="24">
        <v>0</v>
      </c>
      <c r="G133" s="24">
        <v>0</v>
      </c>
      <c r="H133" s="24">
        <v>0</v>
      </c>
      <c r="I133" s="24">
        <v>0</v>
      </c>
      <c r="J133" s="24">
        <v>0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</row>
    <row r="134" spans="1:51" hidden="1" x14ac:dyDescent="0.2">
      <c r="A134" s="3" t="s">
        <v>30</v>
      </c>
      <c r="B134" s="24">
        <v>0</v>
      </c>
      <c r="C134" s="24">
        <v>0</v>
      </c>
      <c r="D134" s="24">
        <v>0</v>
      </c>
      <c r="E134" s="24">
        <v>0</v>
      </c>
      <c r="F134" s="24">
        <v>0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</row>
    <row r="135" spans="1:51" hidden="1" x14ac:dyDescent="0.2">
      <c r="A135" s="3" t="s">
        <v>29</v>
      </c>
      <c r="B135" s="24">
        <v>0</v>
      </c>
      <c r="C135" s="24">
        <v>0</v>
      </c>
      <c r="D135" s="24">
        <v>0</v>
      </c>
      <c r="E135" s="24">
        <v>0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0</v>
      </c>
      <c r="AA135" s="24">
        <v>0</v>
      </c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</row>
    <row r="136" spans="1:51" hidden="1" x14ac:dyDescent="0.2">
      <c r="A136" s="3" t="s">
        <v>27</v>
      </c>
      <c r="B136" s="24">
        <v>0</v>
      </c>
      <c r="C136" s="24">
        <v>0</v>
      </c>
      <c r="D136" s="24">
        <v>0</v>
      </c>
      <c r="E136" s="24">
        <v>0</v>
      </c>
      <c r="F136" s="24">
        <v>0</v>
      </c>
      <c r="G136" s="24">
        <v>0</v>
      </c>
      <c r="H136" s="24">
        <v>0</v>
      </c>
      <c r="I136" s="24">
        <v>0</v>
      </c>
      <c r="J136" s="24">
        <v>0</v>
      </c>
      <c r="K136" s="24">
        <v>0</v>
      </c>
      <c r="L136" s="24">
        <v>0</v>
      </c>
      <c r="M136" s="24">
        <v>0</v>
      </c>
      <c r="N136" s="24">
        <v>0</v>
      </c>
      <c r="O136" s="24">
        <v>0</v>
      </c>
      <c r="P136" s="24">
        <v>0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</row>
    <row r="137" spans="1:51" hidden="1" x14ac:dyDescent="0.2">
      <c r="A137" s="3" t="s">
        <v>112</v>
      </c>
      <c r="B137" s="24">
        <v>0</v>
      </c>
      <c r="C137" s="24">
        <v>0</v>
      </c>
      <c r="D137" s="24">
        <v>0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</row>
    <row r="138" spans="1:51" hidden="1" x14ac:dyDescent="0.2">
      <c r="A138" s="3" t="s">
        <v>113</v>
      </c>
      <c r="B138" s="24">
        <v>0</v>
      </c>
      <c r="C138" s="24">
        <v>0</v>
      </c>
      <c r="D138" s="24">
        <v>0</v>
      </c>
      <c r="E138" s="24">
        <v>0</v>
      </c>
      <c r="F138" s="24">
        <v>0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</row>
    <row r="139" spans="1:51" hidden="1" x14ac:dyDescent="0.2">
      <c r="A139" s="3" t="s">
        <v>114</v>
      </c>
      <c r="B139" s="24">
        <v>0</v>
      </c>
      <c r="C139" s="24">
        <v>0</v>
      </c>
      <c r="D139" s="24">
        <v>0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</row>
    <row r="140" spans="1:51" hidden="1" x14ac:dyDescent="0.2">
      <c r="A140" s="3" t="s">
        <v>26</v>
      </c>
      <c r="B140" s="24">
        <v>0</v>
      </c>
      <c r="C140" s="24">
        <v>0</v>
      </c>
      <c r="D140" s="24">
        <v>0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</row>
    <row r="141" spans="1:51" hidden="1" x14ac:dyDescent="0.2">
      <c r="A141" s="3" t="s">
        <v>25</v>
      </c>
      <c r="B141" s="24">
        <v>0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0</v>
      </c>
      <c r="K141" s="24">
        <v>0</v>
      </c>
      <c r="L141" s="24">
        <v>0</v>
      </c>
      <c r="M141" s="24">
        <v>0</v>
      </c>
      <c r="N141" s="24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</row>
    <row r="142" spans="1:51" hidden="1" x14ac:dyDescent="0.2">
      <c r="A142" s="3" t="s">
        <v>115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</row>
    <row r="143" spans="1:51" hidden="1" x14ac:dyDescent="0.2">
      <c r="A143" s="3" t="s">
        <v>116</v>
      </c>
      <c r="B143" s="24">
        <v>0</v>
      </c>
      <c r="C143" s="24">
        <v>0</v>
      </c>
      <c r="D143" s="24">
        <v>0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</row>
    <row r="144" spans="1:51" hidden="1" x14ac:dyDescent="0.2">
      <c r="A144" s="3" t="s">
        <v>117</v>
      </c>
      <c r="B144" s="24">
        <v>0</v>
      </c>
      <c r="C144" s="24">
        <v>0</v>
      </c>
      <c r="D144" s="24">
        <v>0</v>
      </c>
      <c r="E144" s="24">
        <v>0</v>
      </c>
      <c r="F144" s="24">
        <v>0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</row>
    <row r="145" spans="1:51" hidden="1" x14ac:dyDescent="0.2">
      <c r="A145" s="3" t="s">
        <v>54</v>
      </c>
      <c r="B145" s="24">
        <v>0</v>
      </c>
      <c r="C145" s="24">
        <v>0</v>
      </c>
      <c r="D145" s="24">
        <v>0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0</v>
      </c>
      <c r="N145" s="24">
        <v>0</v>
      </c>
      <c r="O145" s="24">
        <v>0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</row>
    <row r="146" spans="1:51" hidden="1" x14ac:dyDescent="0.2">
      <c r="A146" s="3" t="s">
        <v>24</v>
      </c>
      <c r="B146" s="24">
        <v>0</v>
      </c>
      <c r="C146" s="24">
        <v>0</v>
      </c>
      <c r="D146" s="24">
        <v>0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</row>
    <row r="147" spans="1:51" hidden="1" x14ac:dyDescent="0.2">
      <c r="A147" s="3" t="s">
        <v>55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</row>
    <row r="148" spans="1:51" hidden="1" x14ac:dyDescent="0.2">
      <c r="A148" s="3" t="s">
        <v>118</v>
      </c>
      <c r="B148" s="24">
        <v>0</v>
      </c>
      <c r="C148" s="24">
        <v>0</v>
      </c>
      <c r="D148" s="24">
        <v>0</v>
      </c>
      <c r="E148" s="24">
        <v>0</v>
      </c>
      <c r="F148" s="24">
        <v>0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104.98774044383001</v>
      </c>
      <c r="R148" s="24">
        <v>0</v>
      </c>
      <c r="S148" s="24">
        <v>0</v>
      </c>
      <c r="T148" s="24">
        <v>0</v>
      </c>
      <c r="U148" s="24">
        <v>0</v>
      </c>
      <c r="V148" s="24">
        <v>29.383754796788999</v>
      </c>
      <c r="W148" s="24">
        <v>0</v>
      </c>
      <c r="X148" s="24">
        <v>0</v>
      </c>
      <c r="Y148" s="24">
        <v>7.5275047593827997</v>
      </c>
      <c r="Z148" s="24">
        <v>0</v>
      </c>
      <c r="AA148" s="24">
        <v>0</v>
      </c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</row>
    <row r="149" spans="1:51" hidden="1" x14ac:dyDescent="0.2">
      <c r="A149" s="3" t="s">
        <v>23</v>
      </c>
      <c r="B149" s="24">
        <v>0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</row>
    <row r="150" spans="1:51" hidden="1" x14ac:dyDescent="0.2">
      <c r="A150" s="3" t="s">
        <v>56</v>
      </c>
      <c r="B150" s="24">
        <v>0</v>
      </c>
      <c r="C150" s="24">
        <v>0</v>
      </c>
      <c r="D150" s="24">
        <v>0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</row>
    <row r="151" spans="1:51" hidden="1" x14ac:dyDescent="0.2">
      <c r="A151" s="3" t="s">
        <v>22</v>
      </c>
      <c r="B151" s="24">
        <v>0</v>
      </c>
      <c r="C151" s="24">
        <v>0</v>
      </c>
      <c r="D151" s="24">
        <v>0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</row>
    <row r="152" spans="1:51" hidden="1" x14ac:dyDescent="0.2">
      <c r="A152" s="3" t="s">
        <v>119</v>
      </c>
      <c r="B152" s="24">
        <v>0</v>
      </c>
      <c r="C152" s="24">
        <v>0</v>
      </c>
      <c r="D152" s="24">
        <v>0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0</v>
      </c>
      <c r="N152" s="24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</row>
    <row r="153" spans="1:51" hidden="1" x14ac:dyDescent="0.2">
      <c r="A153" s="3" t="s">
        <v>120</v>
      </c>
      <c r="B153" s="24">
        <v>0</v>
      </c>
      <c r="C153" s="24">
        <v>0</v>
      </c>
      <c r="D153" s="24">
        <v>0</v>
      </c>
      <c r="E153" s="24">
        <v>0</v>
      </c>
      <c r="F153" s="24">
        <v>0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</row>
    <row r="154" spans="1:51" hidden="1" x14ac:dyDescent="0.2">
      <c r="A154" s="3" t="s">
        <v>57</v>
      </c>
      <c r="B154" s="24">
        <v>0</v>
      </c>
      <c r="C154" s="24">
        <v>0</v>
      </c>
      <c r="D154" s="24">
        <v>0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4">
        <v>0</v>
      </c>
      <c r="N154" s="24">
        <v>0</v>
      </c>
      <c r="O154" s="24">
        <v>0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</row>
    <row r="155" spans="1:51" hidden="1" x14ac:dyDescent="0.2">
      <c r="A155" s="3" t="s">
        <v>58</v>
      </c>
      <c r="B155" s="24">
        <v>0</v>
      </c>
      <c r="C155" s="24">
        <v>0</v>
      </c>
      <c r="D155" s="24">
        <v>0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0</v>
      </c>
      <c r="N155" s="24">
        <v>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</row>
    <row r="156" spans="1:51" hidden="1" x14ac:dyDescent="0.2">
      <c r="A156" s="3" t="s">
        <v>121</v>
      </c>
      <c r="B156" s="24">
        <v>0</v>
      </c>
      <c r="C156" s="24">
        <v>0</v>
      </c>
      <c r="D156" s="24">
        <v>0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</row>
    <row r="157" spans="1:51" hidden="1" x14ac:dyDescent="0.2">
      <c r="A157" s="3" t="s">
        <v>21</v>
      </c>
      <c r="B157" s="24">
        <v>0</v>
      </c>
      <c r="C157" s="24">
        <v>0</v>
      </c>
      <c r="D157" s="24">
        <v>0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4">
        <v>0</v>
      </c>
      <c r="Z157" s="24">
        <v>0</v>
      </c>
      <c r="AA157" s="24">
        <v>0</v>
      </c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</row>
    <row r="158" spans="1:51" hidden="1" x14ac:dyDescent="0.2">
      <c r="A158" s="3" t="s">
        <v>20</v>
      </c>
      <c r="B158" s="24">
        <v>0</v>
      </c>
      <c r="C158" s="24">
        <v>0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</row>
    <row r="159" spans="1:51" hidden="1" x14ac:dyDescent="0.2">
      <c r="A159" s="3" t="s">
        <v>122</v>
      </c>
      <c r="B159" s="24">
        <v>0</v>
      </c>
      <c r="C159" s="24">
        <v>0</v>
      </c>
      <c r="D159" s="24">
        <v>0</v>
      </c>
      <c r="E159" s="24">
        <v>0</v>
      </c>
      <c r="F159" s="24">
        <v>0</v>
      </c>
      <c r="G159" s="24">
        <v>0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</row>
    <row r="160" spans="1:51" hidden="1" x14ac:dyDescent="0.2">
      <c r="A160" s="3" t="s">
        <v>123</v>
      </c>
      <c r="B160" s="24">
        <v>0</v>
      </c>
      <c r="C160" s="24">
        <v>0</v>
      </c>
      <c r="D160" s="24">
        <v>0</v>
      </c>
      <c r="E160" s="24">
        <v>0</v>
      </c>
      <c r="F160" s="24">
        <v>0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</row>
    <row r="161" spans="1:51" hidden="1" x14ac:dyDescent="0.2">
      <c r="A161" s="3" t="s">
        <v>124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0</v>
      </c>
      <c r="X161" s="24">
        <v>0</v>
      </c>
      <c r="Y161" s="24">
        <v>0</v>
      </c>
      <c r="Z161" s="24">
        <v>0</v>
      </c>
      <c r="AA161" s="24">
        <v>0</v>
      </c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</row>
    <row r="162" spans="1:51" hidden="1" x14ac:dyDescent="0.2">
      <c r="A162" s="3" t="s">
        <v>19</v>
      </c>
      <c r="B162" s="24">
        <v>0</v>
      </c>
      <c r="C162" s="24">
        <v>0</v>
      </c>
      <c r="D162" s="24">
        <v>0</v>
      </c>
      <c r="E162" s="24">
        <v>0</v>
      </c>
      <c r="F162" s="24">
        <v>0</v>
      </c>
      <c r="G162" s="24">
        <v>0</v>
      </c>
      <c r="H162" s="24">
        <v>0</v>
      </c>
      <c r="I162" s="24">
        <v>0</v>
      </c>
      <c r="J162" s="24">
        <v>0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</row>
    <row r="163" spans="1:51" hidden="1" x14ac:dyDescent="0.2">
      <c r="A163" s="3" t="s">
        <v>125</v>
      </c>
      <c r="B163" s="24">
        <v>0</v>
      </c>
      <c r="C163" s="24">
        <v>0</v>
      </c>
      <c r="D163" s="24">
        <v>0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</row>
    <row r="164" spans="1:51" hidden="1" x14ac:dyDescent="0.2">
      <c r="A164" s="3" t="s">
        <v>126</v>
      </c>
      <c r="B164" s="24">
        <v>0</v>
      </c>
      <c r="C164" s="24">
        <v>0</v>
      </c>
      <c r="D164" s="24">
        <v>0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</row>
    <row r="165" spans="1:51" hidden="1" x14ac:dyDescent="0.2">
      <c r="A165" s="3" t="s">
        <v>127</v>
      </c>
      <c r="B165" s="24">
        <v>0</v>
      </c>
      <c r="C165" s="24">
        <v>0</v>
      </c>
      <c r="D165" s="24">
        <v>0</v>
      </c>
      <c r="E165" s="24">
        <v>0</v>
      </c>
      <c r="F165" s="24">
        <v>0</v>
      </c>
      <c r="G165" s="24">
        <v>0</v>
      </c>
      <c r="H165" s="24">
        <v>0</v>
      </c>
      <c r="I165" s="24">
        <v>0</v>
      </c>
      <c r="J165" s="24">
        <v>0</v>
      </c>
      <c r="K165" s="24">
        <v>0</v>
      </c>
      <c r="L165" s="24">
        <v>0</v>
      </c>
      <c r="M165" s="24">
        <v>0</v>
      </c>
      <c r="N165" s="24">
        <v>0</v>
      </c>
      <c r="O165" s="24">
        <v>0</v>
      </c>
      <c r="P165" s="24">
        <v>0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</row>
    <row r="166" spans="1:51" hidden="1" x14ac:dyDescent="0.2">
      <c r="A166" s="3" t="s">
        <v>59</v>
      </c>
      <c r="B166" s="24">
        <v>0</v>
      </c>
      <c r="C166" s="24">
        <v>0</v>
      </c>
      <c r="D166" s="24">
        <v>0</v>
      </c>
      <c r="E166" s="24">
        <v>0</v>
      </c>
      <c r="F166" s="24">
        <v>0</v>
      </c>
      <c r="G166" s="24">
        <v>0</v>
      </c>
      <c r="H166" s="24">
        <v>0</v>
      </c>
      <c r="I166" s="24">
        <v>0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</row>
    <row r="167" spans="1:51" hidden="1" x14ac:dyDescent="0.2">
      <c r="A167" s="3" t="s">
        <v>60</v>
      </c>
      <c r="B167" s="24">
        <v>0</v>
      </c>
      <c r="C167" s="24">
        <v>0</v>
      </c>
      <c r="D167" s="24">
        <v>0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</row>
    <row r="168" spans="1:51" hidden="1" x14ac:dyDescent="0.2">
      <c r="A168" s="3" t="s">
        <v>18</v>
      </c>
      <c r="B168" s="24">
        <v>0</v>
      </c>
      <c r="C168" s="24">
        <v>0</v>
      </c>
      <c r="D168" s="24">
        <v>0</v>
      </c>
      <c r="E168" s="24">
        <v>0</v>
      </c>
      <c r="F168" s="24">
        <v>0</v>
      </c>
      <c r="G168" s="24">
        <v>0</v>
      </c>
      <c r="H168" s="24">
        <v>0</v>
      </c>
      <c r="I168" s="24">
        <v>0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</row>
    <row r="169" spans="1:51" hidden="1" x14ac:dyDescent="0.2">
      <c r="A169" s="3" t="s">
        <v>128</v>
      </c>
      <c r="B169" s="24">
        <v>0</v>
      </c>
      <c r="C169" s="24">
        <v>0</v>
      </c>
      <c r="D169" s="24">
        <v>0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</row>
    <row r="170" spans="1:51" hidden="1" x14ac:dyDescent="0.2">
      <c r="A170" s="3" t="s">
        <v>129</v>
      </c>
      <c r="B170" s="24">
        <v>0</v>
      </c>
      <c r="C170" s="24">
        <v>0</v>
      </c>
      <c r="D170" s="24">
        <v>0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</row>
    <row r="171" spans="1:51" hidden="1" x14ac:dyDescent="0.2">
      <c r="A171" s="3" t="s">
        <v>61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</row>
    <row r="172" spans="1:51" hidden="1" x14ac:dyDescent="0.2">
      <c r="A172" s="3" t="s">
        <v>62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0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</row>
    <row r="173" spans="1:51" hidden="1" x14ac:dyDescent="0.2">
      <c r="A173" s="3" t="s">
        <v>130</v>
      </c>
      <c r="B173" s="24">
        <v>0</v>
      </c>
      <c r="C173" s="24">
        <v>0</v>
      </c>
      <c r="D173" s="24">
        <v>0</v>
      </c>
      <c r="E173" s="24">
        <v>0</v>
      </c>
      <c r="F173" s="24">
        <v>0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24">
        <v>0</v>
      </c>
      <c r="O173" s="24">
        <v>0</v>
      </c>
      <c r="P173" s="24">
        <v>0</v>
      </c>
      <c r="Q173" s="24">
        <v>2592.5273047477999</v>
      </c>
      <c r="R173" s="24">
        <v>0</v>
      </c>
      <c r="S173" s="24">
        <v>0</v>
      </c>
      <c r="T173" s="24">
        <v>0</v>
      </c>
      <c r="U173" s="24">
        <v>0</v>
      </c>
      <c r="V173" s="24">
        <v>725.59125765208</v>
      </c>
      <c r="W173" s="24">
        <v>0</v>
      </c>
      <c r="X173" s="24">
        <v>0</v>
      </c>
      <c r="Y173" s="24">
        <v>185.88133760017001</v>
      </c>
      <c r="Z173" s="24">
        <v>0</v>
      </c>
      <c r="AA173" s="24">
        <v>0</v>
      </c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</row>
    <row r="174" spans="1:51" hidden="1" x14ac:dyDescent="0.2">
      <c r="A174" s="3" t="s">
        <v>131</v>
      </c>
      <c r="B174" s="24">
        <v>0</v>
      </c>
      <c r="C174" s="24">
        <v>0</v>
      </c>
      <c r="D174" s="24">
        <v>1525.0000250000001</v>
      </c>
      <c r="E174" s="24">
        <v>1525.0000250000001</v>
      </c>
      <c r="F174" s="24">
        <v>0</v>
      </c>
      <c r="G174" s="24">
        <v>1525.0000250000001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9194.9997149999999</v>
      </c>
      <c r="S174" s="24">
        <v>0</v>
      </c>
      <c r="T174" s="24">
        <v>0</v>
      </c>
      <c r="U174" s="24">
        <v>0</v>
      </c>
      <c r="V174" s="24">
        <v>0</v>
      </c>
      <c r="W174" s="24">
        <v>9194.9997149999999</v>
      </c>
      <c r="X174" s="24">
        <v>1525.0000250000001</v>
      </c>
      <c r="Y174" s="24">
        <v>0</v>
      </c>
      <c r="Z174" s="24">
        <v>42909.998670000001</v>
      </c>
      <c r="AA174" s="24">
        <v>0</v>
      </c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</row>
    <row r="175" spans="1:51" hidden="1" x14ac:dyDescent="0.2">
      <c r="A175" s="3" t="s">
        <v>132</v>
      </c>
      <c r="B175" s="24">
        <v>0</v>
      </c>
      <c r="C175" s="24">
        <v>0</v>
      </c>
      <c r="D175" s="24">
        <v>0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</row>
    <row r="176" spans="1:51" hidden="1" x14ac:dyDescent="0.2">
      <c r="A176" s="3" t="s">
        <v>133</v>
      </c>
      <c r="B176" s="24">
        <v>0</v>
      </c>
      <c r="C176" s="24">
        <v>0</v>
      </c>
      <c r="D176" s="24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</row>
    <row r="177" spans="1:51" hidden="1" x14ac:dyDescent="0.2">
      <c r="A177" s="3" t="s">
        <v>134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</row>
    <row r="178" spans="1:51" hidden="1" x14ac:dyDescent="0.2">
      <c r="A178" s="3" t="s">
        <v>135</v>
      </c>
      <c r="B178" s="24">
        <v>0</v>
      </c>
      <c r="C178" s="24">
        <v>0</v>
      </c>
      <c r="D178" s="24">
        <v>0</v>
      </c>
      <c r="E178" s="24">
        <v>0</v>
      </c>
      <c r="F178" s="24">
        <v>0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</row>
    <row r="179" spans="1:51" hidden="1" x14ac:dyDescent="0.2">
      <c r="A179" s="3" t="s">
        <v>136</v>
      </c>
      <c r="B179" s="24">
        <v>0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0</v>
      </c>
      <c r="I179" s="24">
        <v>0</v>
      </c>
      <c r="J179" s="24">
        <v>0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</row>
    <row r="180" spans="1:51" hidden="1" x14ac:dyDescent="0.2">
      <c r="A180" s="3" t="s">
        <v>17</v>
      </c>
      <c r="B180" s="24">
        <v>0</v>
      </c>
      <c r="C180" s="24">
        <v>0</v>
      </c>
      <c r="D180" s="24">
        <v>0</v>
      </c>
      <c r="E180" s="24">
        <v>0</v>
      </c>
      <c r="F180" s="24">
        <v>0</v>
      </c>
      <c r="G180" s="24">
        <v>0</v>
      </c>
      <c r="H180" s="24">
        <v>0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</row>
    <row r="181" spans="1:51" hidden="1" x14ac:dyDescent="0.2">
      <c r="A181" s="3" t="s">
        <v>137</v>
      </c>
      <c r="B181" s="24">
        <v>0</v>
      </c>
      <c r="C181" s="24">
        <v>0</v>
      </c>
      <c r="D181" s="24">
        <v>0</v>
      </c>
      <c r="E181" s="24">
        <v>0</v>
      </c>
      <c r="F181" s="24">
        <v>0</v>
      </c>
      <c r="G181" s="24">
        <v>0</v>
      </c>
      <c r="H181" s="24">
        <v>0</v>
      </c>
      <c r="I181" s="24">
        <v>0</v>
      </c>
      <c r="J181" s="24">
        <v>0</v>
      </c>
      <c r="K181" s="24">
        <v>0</v>
      </c>
      <c r="L181" s="24">
        <v>0</v>
      </c>
      <c r="M181" s="24">
        <v>0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</row>
    <row r="182" spans="1:51" hidden="1" x14ac:dyDescent="0.2">
      <c r="A182" s="3" t="s">
        <v>138</v>
      </c>
      <c r="B182" s="24">
        <v>0</v>
      </c>
      <c r="C182" s="24">
        <v>0</v>
      </c>
      <c r="D182" s="24">
        <v>0</v>
      </c>
      <c r="E182" s="24">
        <v>0</v>
      </c>
      <c r="F182" s="24">
        <v>0</v>
      </c>
      <c r="G182" s="24">
        <v>0</v>
      </c>
      <c r="H182" s="24">
        <v>0</v>
      </c>
      <c r="I182" s="24">
        <v>0</v>
      </c>
      <c r="J182" s="24">
        <v>0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</row>
    <row r="183" spans="1:51" hidden="1" x14ac:dyDescent="0.2">
      <c r="A183" s="3" t="s">
        <v>139</v>
      </c>
      <c r="B183" s="24">
        <v>0</v>
      </c>
      <c r="C183" s="24">
        <v>0</v>
      </c>
      <c r="D183" s="24">
        <v>0</v>
      </c>
      <c r="E183" s="24">
        <v>0</v>
      </c>
      <c r="F183" s="24">
        <v>0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</row>
    <row r="184" spans="1:51" hidden="1" x14ac:dyDescent="0.2">
      <c r="B184" s="12" t="s">
        <v>140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</row>
    <row r="185" spans="1:51" hidden="1" x14ac:dyDescent="0.2">
      <c r="B185" s="2">
        <f>SUM(B124:B183)</f>
        <v>286.76152730246997</v>
      </c>
      <c r="C185" s="2">
        <f t="shared" ref="C185:AA185" si="26">SUM(C124:C183)</f>
        <v>284.23271681389002</v>
      </c>
      <c r="D185" s="2">
        <f t="shared" si="26"/>
        <v>1525.0000250000001</v>
      </c>
      <c r="E185" s="2">
        <f t="shared" si="26"/>
        <v>1525.0000250000001</v>
      </c>
      <c r="F185" s="2">
        <f t="shared" si="26"/>
        <v>599.30664270445004</v>
      </c>
      <c r="G185" s="2">
        <f t="shared" si="26"/>
        <v>1525.0000250000001</v>
      </c>
      <c r="H185" s="2">
        <f t="shared" si="26"/>
        <v>16.498263478895002</v>
      </c>
      <c r="I185" s="2">
        <f t="shared" si="26"/>
        <v>107.58945982553</v>
      </c>
      <c r="J185" s="2">
        <f t="shared" si="26"/>
        <v>407.92555901421002</v>
      </c>
      <c r="K185" s="2">
        <f t="shared" si="26"/>
        <v>236.16064</v>
      </c>
      <c r="L185" s="2">
        <f t="shared" si="26"/>
        <v>292.32439207994003</v>
      </c>
      <c r="M185" s="2">
        <f t="shared" si="26"/>
        <v>88.560239999999993</v>
      </c>
      <c r="N185" s="2">
        <f t="shared" si="26"/>
        <v>248.15311078425</v>
      </c>
      <c r="O185" s="2">
        <f t="shared" si="26"/>
        <v>236.16064</v>
      </c>
      <c r="P185" s="2">
        <f t="shared" si="26"/>
        <v>351.53750242352999</v>
      </c>
      <c r="Q185" s="2">
        <f t="shared" si="26"/>
        <v>2697.5150451916297</v>
      </c>
      <c r="R185" s="2">
        <f t="shared" si="26"/>
        <v>9943.4394150000007</v>
      </c>
      <c r="S185" s="2">
        <f t="shared" si="26"/>
        <v>485.30325915903001</v>
      </c>
      <c r="T185" s="2">
        <f t="shared" si="26"/>
        <v>22.787423471392</v>
      </c>
      <c r="U185" s="2">
        <f t="shared" si="26"/>
        <v>5733.5002000000004</v>
      </c>
      <c r="V185" s="2">
        <f t="shared" si="26"/>
        <v>754.97501244886905</v>
      </c>
      <c r="W185" s="2">
        <f t="shared" si="26"/>
        <v>9943.4394150000007</v>
      </c>
      <c r="X185" s="2">
        <f t="shared" si="26"/>
        <v>1525.0000250000001</v>
      </c>
      <c r="Y185" s="2">
        <f t="shared" si="26"/>
        <v>193.40884235955281</v>
      </c>
      <c r="Z185" s="2">
        <f t="shared" si="26"/>
        <v>46402.717270000001</v>
      </c>
      <c r="AA185" s="2">
        <f t="shared" si="26"/>
        <v>6.4348511187881998</v>
      </c>
    </row>
    <row r="186" spans="1:51" hidden="1" x14ac:dyDescent="0.2">
      <c r="B186" s="13" t="s">
        <v>141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51" hidden="1" x14ac:dyDescent="0.2"/>
    <row r="188" spans="1:51" hidden="1" x14ac:dyDescent="0.2"/>
    <row r="190" spans="1:51" ht="244" x14ac:dyDescent="0.2">
      <c r="B190" s="4" t="s">
        <v>14</v>
      </c>
      <c r="C190" s="4" t="s">
        <v>13</v>
      </c>
      <c r="D190" s="4" t="s">
        <v>12</v>
      </c>
      <c r="E190" s="4" t="s">
        <v>98</v>
      </c>
      <c r="F190" s="4" t="s">
        <v>11</v>
      </c>
      <c r="G190" s="4" t="s">
        <v>10</v>
      </c>
      <c r="H190" s="4" t="s">
        <v>9</v>
      </c>
      <c r="I190" s="4" t="s">
        <v>8</v>
      </c>
      <c r="J190" s="4" t="s">
        <v>7</v>
      </c>
      <c r="K190" s="4" t="s">
        <v>63</v>
      </c>
      <c r="L190" s="4" t="s">
        <v>6</v>
      </c>
      <c r="M190" s="4" t="s">
        <v>64</v>
      </c>
      <c r="N190" s="4" t="s">
        <v>5</v>
      </c>
      <c r="O190" s="4" t="s">
        <v>65</v>
      </c>
      <c r="P190" s="4" t="s">
        <v>4</v>
      </c>
      <c r="Q190" s="4" t="s">
        <v>66</v>
      </c>
      <c r="R190" s="4" t="s">
        <v>67</v>
      </c>
      <c r="S190" s="4" t="s">
        <v>3</v>
      </c>
      <c r="T190" s="4" t="s">
        <v>68</v>
      </c>
      <c r="U190" s="4" t="s">
        <v>2</v>
      </c>
      <c r="V190" s="4" t="s">
        <v>69</v>
      </c>
      <c r="W190" s="4" t="s">
        <v>70</v>
      </c>
      <c r="X190" s="4" t="s">
        <v>1</v>
      </c>
      <c r="Y190" s="4" t="s">
        <v>71</v>
      </c>
      <c r="Z190" s="4" t="s">
        <v>72</v>
      </c>
      <c r="AA190" s="4" t="s">
        <v>0</v>
      </c>
    </row>
    <row r="191" spans="1:51" x14ac:dyDescent="0.2">
      <c r="A191" s="3" t="s">
        <v>45</v>
      </c>
      <c r="B191" s="2">
        <f t="shared" ref="B191:AA191" si="27">B125/B$185</f>
        <v>0</v>
      </c>
      <c r="C191" s="2">
        <f t="shared" si="27"/>
        <v>0</v>
      </c>
      <c r="D191" s="2">
        <f t="shared" si="27"/>
        <v>0</v>
      </c>
      <c r="E191" s="2">
        <f t="shared" si="27"/>
        <v>0</v>
      </c>
      <c r="F191" s="2">
        <f t="shared" si="27"/>
        <v>0</v>
      </c>
      <c r="G191" s="2">
        <f t="shared" si="27"/>
        <v>0</v>
      </c>
      <c r="H191" s="2">
        <f t="shared" si="27"/>
        <v>0</v>
      </c>
      <c r="I191" s="2">
        <f t="shared" si="27"/>
        <v>0</v>
      </c>
      <c r="J191" s="2">
        <f t="shared" si="27"/>
        <v>0</v>
      </c>
      <c r="K191" s="2">
        <f t="shared" si="27"/>
        <v>0</v>
      </c>
      <c r="L191" s="2">
        <f t="shared" si="27"/>
        <v>0</v>
      </c>
      <c r="M191" s="2">
        <f t="shared" si="27"/>
        <v>0</v>
      </c>
      <c r="N191" s="2">
        <f t="shared" si="27"/>
        <v>0</v>
      </c>
      <c r="O191" s="2">
        <f t="shared" si="27"/>
        <v>0</v>
      </c>
      <c r="P191" s="2">
        <f t="shared" si="27"/>
        <v>0</v>
      </c>
      <c r="Q191" s="2">
        <f t="shared" si="27"/>
        <v>0</v>
      </c>
      <c r="R191" s="2">
        <f t="shared" si="27"/>
        <v>7.5269699825490408E-2</v>
      </c>
      <c r="S191" s="2">
        <f t="shared" si="27"/>
        <v>0</v>
      </c>
      <c r="T191" s="2">
        <f t="shared" si="27"/>
        <v>0</v>
      </c>
      <c r="U191" s="2">
        <f t="shared" si="27"/>
        <v>0</v>
      </c>
      <c r="V191" s="2">
        <f t="shared" si="27"/>
        <v>0</v>
      </c>
      <c r="W191" s="2">
        <f t="shared" si="27"/>
        <v>7.5269699825490408E-2</v>
      </c>
      <c r="X191" s="2">
        <f t="shared" si="27"/>
        <v>0</v>
      </c>
      <c r="Y191" s="2">
        <f t="shared" si="27"/>
        <v>0</v>
      </c>
      <c r="Z191" s="2">
        <f t="shared" si="27"/>
        <v>7.5269699825490421E-2</v>
      </c>
      <c r="AA191" s="2">
        <f t="shared" si="27"/>
        <v>0</v>
      </c>
      <c r="AC191" s="17"/>
    </row>
    <row r="192" spans="1:51" x14ac:dyDescent="0.2">
      <c r="A192" s="3" t="s">
        <v>109</v>
      </c>
      <c r="B192" s="2">
        <f t="shared" ref="B192:AA192" si="28">B127/B$185</f>
        <v>1</v>
      </c>
      <c r="C192" s="2">
        <f t="shared" si="28"/>
        <v>1</v>
      </c>
      <c r="D192" s="2">
        <f t="shared" si="28"/>
        <v>0</v>
      </c>
      <c r="E192" s="2">
        <f t="shared" si="28"/>
        <v>0</v>
      </c>
      <c r="F192" s="2">
        <f t="shared" si="28"/>
        <v>1</v>
      </c>
      <c r="G192" s="2">
        <f t="shared" si="28"/>
        <v>0</v>
      </c>
      <c r="H192" s="2">
        <f t="shared" si="28"/>
        <v>1</v>
      </c>
      <c r="I192" s="2">
        <f t="shared" si="28"/>
        <v>1</v>
      </c>
      <c r="J192" s="2">
        <f t="shared" si="28"/>
        <v>1</v>
      </c>
      <c r="K192" s="2">
        <f t="shared" si="28"/>
        <v>1</v>
      </c>
      <c r="L192" s="2">
        <f t="shared" si="28"/>
        <v>1</v>
      </c>
      <c r="M192" s="2">
        <f t="shared" si="28"/>
        <v>1</v>
      </c>
      <c r="N192" s="2">
        <f t="shared" si="28"/>
        <v>1</v>
      </c>
      <c r="O192" s="2">
        <f t="shared" si="28"/>
        <v>1</v>
      </c>
      <c r="P192" s="2">
        <f t="shared" si="28"/>
        <v>1</v>
      </c>
      <c r="Q192" s="2">
        <f t="shared" si="28"/>
        <v>0</v>
      </c>
      <c r="R192" s="2">
        <f t="shared" si="28"/>
        <v>0</v>
      </c>
      <c r="S192" s="2">
        <f t="shared" si="28"/>
        <v>1</v>
      </c>
      <c r="T192" s="2">
        <f t="shared" si="28"/>
        <v>1</v>
      </c>
      <c r="U192" s="2">
        <f t="shared" si="28"/>
        <v>0</v>
      </c>
      <c r="V192" s="2">
        <f t="shared" si="28"/>
        <v>0</v>
      </c>
      <c r="W192" s="2">
        <f t="shared" si="28"/>
        <v>0</v>
      </c>
      <c r="X192" s="2">
        <f t="shared" si="28"/>
        <v>0</v>
      </c>
      <c r="Y192" s="2">
        <f t="shared" si="28"/>
        <v>0</v>
      </c>
      <c r="Z192" s="2">
        <f t="shared" si="28"/>
        <v>0</v>
      </c>
      <c r="AA192" s="2">
        <f t="shared" si="28"/>
        <v>1</v>
      </c>
      <c r="AC192" s="17"/>
    </row>
    <row r="193" spans="1:29" x14ac:dyDescent="0.2">
      <c r="A193" s="3" t="s">
        <v>110</v>
      </c>
      <c r="B193" s="2">
        <f t="shared" ref="B193:AA193" si="29">B128/B$185</f>
        <v>0</v>
      </c>
      <c r="C193" s="2">
        <f t="shared" si="29"/>
        <v>0</v>
      </c>
      <c r="D193" s="2">
        <f t="shared" si="29"/>
        <v>0</v>
      </c>
      <c r="E193" s="2">
        <f t="shared" si="29"/>
        <v>0</v>
      </c>
      <c r="F193" s="2">
        <f t="shared" si="29"/>
        <v>0</v>
      </c>
      <c r="G193" s="2">
        <f t="shared" si="29"/>
        <v>0</v>
      </c>
      <c r="H193" s="2">
        <f t="shared" si="29"/>
        <v>0</v>
      </c>
      <c r="I193" s="2">
        <f t="shared" si="29"/>
        <v>0</v>
      </c>
      <c r="J193" s="2">
        <f t="shared" si="29"/>
        <v>0</v>
      </c>
      <c r="K193" s="2">
        <f t="shared" si="29"/>
        <v>0</v>
      </c>
      <c r="L193" s="2">
        <f t="shared" si="29"/>
        <v>0</v>
      </c>
      <c r="M193" s="2">
        <f t="shared" si="29"/>
        <v>0</v>
      </c>
      <c r="N193" s="2">
        <f t="shared" si="29"/>
        <v>0</v>
      </c>
      <c r="O193" s="2">
        <f t="shared" si="29"/>
        <v>0</v>
      </c>
      <c r="P193" s="2">
        <f t="shared" si="29"/>
        <v>0</v>
      </c>
      <c r="Q193" s="2">
        <f t="shared" si="29"/>
        <v>0</v>
      </c>
      <c r="R193" s="2">
        <f t="shared" si="29"/>
        <v>0</v>
      </c>
      <c r="S193" s="2">
        <f t="shared" si="29"/>
        <v>0</v>
      </c>
      <c r="T193" s="2">
        <f t="shared" si="29"/>
        <v>0</v>
      </c>
      <c r="U193" s="2">
        <f t="shared" si="29"/>
        <v>0.6450512376366534</v>
      </c>
      <c r="V193" s="2">
        <f t="shared" si="29"/>
        <v>0</v>
      </c>
      <c r="W193" s="2">
        <f t="shared" si="29"/>
        <v>0</v>
      </c>
      <c r="X193" s="2">
        <f t="shared" si="29"/>
        <v>0</v>
      </c>
      <c r="Y193" s="2">
        <f t="shared" si="29"/>
        <v>0</v>
      </c>
      <c r="Z193" s="2">
        <f t="shared" si="29"/>
        <v>0</v>
      </c>
      <c r="AA193" s="2">
        <f t="shared" si="29"/>
        <v>0</v>
      </c>
      <c r="AC193" s="17"/>
    </row>
    <row r="194" spans="1:29" x14ac:dyDescent="0.2">
      <c r="A194" s="3" t="s">
        <v>111</v>
      </c>
      <c r="B194" s="2">
        <f t="shared" ref="B194:AA194" si="30">B129/B$185</f>
        <v>0</v>
      </c>
      <c r="C194" s="2">
        <f t="shared" si="30"/>
        <v>0</v>
      </c>
      <c r="D194" s="2">
        <f t="shared" si="30"/>
        <v>0</v>
      </c>
      <c r="E194" s="2">
        <f t="shared" si="30"/>
        <v>0</v>
      </c>
      <c r="F194" s="2">
        <f t="shared" si="30"/>
        <v>0</v>
      </c>
      <c r="G194" s="2">
        <f t="shared" si="30"/>
        <v>0</v>
      </c>
      <c r="H194" s="2">
        <f t="shared" si="30"/>
        <v>0</v>
      </c>
      <c r="I194" s="2">
        <f t="shared" si="30"/>
        <v>0</v>
      </c>
      <c r="J194" s="2">
        <f t="shared" si="30"/>
        <v>0</v>
      </c>
      <c r="K194" s="2">
        <f t="shared" si="30"/>
        <v>0</v>
      </c>
      <c r="L194" s="2">
        <f t="shared" si="30"/>
        <v>0</v>
      </c>
      <c r="M194" s="2">
        <f t="shared" si="30"/>
        <v>0</v>
      </c>
      <c r="N194" s="2">
        <f t="shared" si="30"/>
        <v>0</v>
      </c>
      <c r="O194" s="2">
        <f t="shared" si="30"/>
        <v>0</v>
      </c>
      <c r="P194" s="2">
        <f t="shared" si="30"/>
        <v>0</v>
      </c>
      <c r="Q194" s="2">
        <f t="shared" si="30"/>
        <v>0</v>
      </c>
      <c r="R194" s="2">
        <f t="shared" si="30"/>
        <v>0</v>
      </c>
      <c r="S194" s="2">
        <f t="shared" si="30"/>
        <v>0</v>
      </c>
      <c r="T194" s="2">
        <f t="shared" si="30"/>
        <v>0</v>
      </c>
      <c r="U194" s="2">
        <f t="shared" si="30"/>
        <v>0.35494876236334655</v>
      </c>
      <c r="V194" s="2">
        <f t="shared" si="30"/>
        <v>0</v>
      </c>
      <c r="W194" s="2">
        <f t="shared" si="30"/>
        <v>0</v>
      </c>
      <c r="X194" s="2">
        <f t="shared" si="30"/>
        <v>0</v>
      </c>
      <c r="Y194" s="2">
        <f t="shared" si="30"/>
        <v>0</v>
      </c>
      <c r="Z194" s="2">
        <f t="shared" si="30"/>
        <v>0</v>
      </c>
      <c r="AA194" s="2">
        <f t="shared" si="30"/>
        <v>0</v>
      </c>
      <c r="AC194" s="17"/>
    </row>
    <row r="195" spans="1:29" x14ac:dyDescent="0.2">
      <c r="A195" s="3" t="s">
        <v>118</v>
      </c>
      <c r="B195" s="2">
        <f t="shared" ref="B195:AA195" si="31">B148/B$185</f>
        <v>0</v>
      </c>
      <c r="C195" s="2">
        <f t="shared" si="31"/>
        <v>0</v>
      </c>
      <c r="D195" s="2">
        <f t="shared" si="31"/>
        <v>0</v>
      </c>
      <c r="E195" s="2">
        <f t="shared" si="31"/>
        <v>0</v>
      </c>
      <c r="F195" s="2">
        <f t="shared" si="31"/>
        <v>0</v>
      </c>
      <c r="G195" s="2">
        <f t="shared" si="31"/>
        <v>0</v>
      </c>
      <c r="H195" s="2">
        <f t="shared" si="31"/>
        <v>0</v>
      </c>
      <c r="I195" s="2">
        <f t="shared" si="31"/>
        <v>0</v>
      </c>
      <c r="J195" s="2">
        <f t="shared" si="31"/>
        <v>0</v>
      </c>
      <c r="K195" s="2">
        <f t="shared" si="31"/>
        <v>0</v>
      </c>
      <c r="L195" s="2">
        <f t="shared" si="31"/>
        <v>0</v>
      </c>
      <c r="M195" s="2">
        <f t="shared" si="31"/>
        <v>0</v>
      </c>
      <c r="N195" s="2">
        <f t="shared" si="31"/>
        <v>0</v>
      </c>
      <c r="O195" s="2">
        <f t="shared" si="31"/>
        <v>0</v>
      </c>
      <c r="P195" s="2">
        <f t="shared" si="31"/>
        <v>0</v>
      </c>
      <c r="Q195" s="2">
        <f t="shared" si="31"/>
        <v>3.8920168631115734E-2</v>
      </c>
      <c r="R195" s="2">
        <f t="shared" si="31"/>
        <v>0</v>
      </c>
      <c r="S195" s="2">
        <f t="shared" si="31"/>
        <v>0</v>
      </c>
      <c r="T195" s="2">
        <f t="shared" si="31"/>
        <v>0</v>
      </c>
      <c r="U195" s="2">
        <f t="shared" si="31"/>
        <v>0</v>
      </c>
      <c r="V195" s="2">
        <f t="shared" si="31"/>
        <v>3.892016863111615E-2</v>
      </c>
      <c r="W195" s="2">
        <f t="shared" si="31"/>
        <v>0</v>
      </c>
      <c r="X195" s="2">
        <f t="shared" si="31"/>
        <v>0</v>
      </c>
      <c r="Y195" s="2">
        <f t="shared" si="31"/>
        <v>3.8920168631116379E-2</v>
      </c>
      <c r="Z195" s="2">
        <f t="shared" si="31"/>
        <v>0</v>
      </c>
      <c r="AA195" s="2">
        <f t="shared" si="31"/>
        <v>0</v>
      </c>
      <c r="AC195" s="17"/>
    </row>
    <row r="196" spans="1:29" x14ac:dyDescent="0.2">
      <c r="A196" s="3" t="s">
        <v>130</v>
      </c>
      <c r="B196" s="2">
        <f t="shared" ref="B196:AA196" si="32">B173/B$185</f>
        <v>0</v>
      </c>
      <c r="C196" s="2">
        <f t="shared" si="32"/>
        <v>0</v>
      </c>
      <c r="D196" s="2">
        <f t="shared" si="32"/>
        <v>0</v>
      </c>
      <c r="E196" s="2">
        <f t="shared" si="32"/>
        <v>0</v>
      </c>
      <c r="F196" s="2">
        <f t="shared" si="32"/>
        <v>0</v>
      </c>
      <c r="G196" s="2">
        <f t="shared" si="32"/>
        <v>0</v>
      </c>
      <c r="H196" s="2">
        <f t="shared" si="32"/>
        <v>0</v>
      </c>
      <c r="I196" s="2">
        <f t="shared" si="32"/>
        <v>0</v>
      </c>
      <c r="J196" s="2">
        <f t="shared" si="32"/>
        <v>0</v>
      </c>
      <c r="K196" s="2">
        <f t="shared" si="32"/>
        <v>0</v>
      </c>
      <c r="L196" s="2">
        <f t="shared" si="32"/>
        <v>0</v>
      </c>
      <c r="M196" s="2">
        <f t="shared" si="32"/>
        <v>0</v>
      </c>
      <c r="N196" s="2">
        <f t="shared" si="32"/>
        <v>0</v>
      </c>
      <c r="O196" s="2">
        <f t="shared" si="32"/>
        <v>0</v>
      </c>
      <c r="P196" s="2">
        <f t="shared" si="32"/>
        <v>0</v>
      </c>
      <c r="Q196" s="2">
        <f t="shared" si="32"/>
        <v>0.96107983136888431</v>
      </c>
      <c r="R196" s="2">
        <f t="shared" si="32"/>
        <v>0</v>
      </c>
      <c r="S196" s="2">
        <f t="shared" si="32"/>
        <v>0</v>
      </c>
      <c r="T196" s="2">
        <f t="shared" si="32"/>
        <v>0</v>
      </c>
      <c r="U196" s="2">
        <f t="shared" si="32"/>
        <v>0</v>
      </c>
      <c r="V196" s="2">
        <f t="shared" si="32"/>
        <v>0.96107983136888375</v>
      </c>
      <c r="W196" s="2">
        <f t="shared" si="32"/>
        <v>0</v>
      </c>
      <c r="X196" s="2">
        <f t="shared" si="32"/>
        <v>0</v>
      </c>
      <c r="Y196" s="2">
        <f t="shared" si="32"/>
        <v>0.96107983136888364</v>
      </c>
      <c r="Z196" s="2">
        <f t="shared" si="32"/>
        <v>0</v>
      </c>
      <c r="AA196" s="2">
        <f t="shared" si="32"/>
        <v>0</v>
      </c>
      <c r="AC196" s="17"/>
    </row>
    <row r="197" spans="1:29" x14ac:dyDescent="0.2">
      <c r="A197" s="3" t="s">
        <v>131</v>
      </c>
      <c r="B197" s="2">
        <f t="shared" ref="B197:AA197" si="33">B174/B$185</f>
        <v>0</v>
      </c>
      <c r="C197" s="2">
        <f t="shared" si="33"/>
        <v>0</v>
      </c>
      <c r="D197" s="2">
        <f t="shared" si="33"/>
        <v>1</v>
      </c>
      <c r="E197" s="2">
        <f t="shared" si="33"/>
        <v>1</v>
      </c>
      <c r="F197" s="2">
        <f t="shared" si="33"/>
        <v>0</v>
      </c>
      <c r="G197" s="2">
        <f t="shared" si="33"/>
        <v>1</v>
      </c>
      <c r="H197" s="2">
        <f t="shared" si="33"/>
        <v>0</v>
      </c>
      <c r="I197" s="2">
        <f t="shared" si="33"/>
        <v>0</v>
      </c>
      <c r="J197" s="2">
        <f t="shared" si="33"/>
        <v>0</v>
      </c>
      <c r="K197" s="2">
        <f t="shared" si="33"/>
        <v>0</v>
      </c>
      <c r="L197" s="2">
        <f t="shared" si="33"/>
        <v>0</v>
      </c>
      <c r="M197" s="2">
        <f t="shared" si="33"/>
        <v>0</v>
      </c>
      <c r="N197" s="2">
        <f t="shared" si="33"/>
        <v>0</v>
      </c>
      <c r="O197" s="2">
        <f t="shared" si="33"/>
        <v>0</v>
      </c>
      <c r="P197" s="2">
        <f t="shared" si="33"/>
        <v>0</v>
      </c>
      <c r="Q197" s="2">
        <f t="shared" si="33"/>
        <v>0</v>
      </c>
      <c r="R197" s="2">
        <f t="shared" si="33"/>
        <v>0.92473030017450952</v>
      </c>
      <c r="S197" s="2">
        <f t="shared" si="33"/>
        <v>0</v>
      </c>
      <c r="T197" s="2">
        <f t="shared" si="33"/>
        <v>0</v>
      </c>
      <c r="U197" s="2">
        <f t="shared" si="33"/>
        <v>0</v>
      </c>
      <c r="V197" s="2">
        <f t="shared" si="33"/>
        <v>0</v>
      </c>
      <c r="W197" s="2">
        <f t="shared" si="33"/>
        <v>0.92473030017450952</v>
      </c>
      <c r="X197" s="2">
        <f t="shared" si="33"/>
        <v>1</v>
      </c>
      <c r="Y197" s="2">
        <f t="shared" si="33"/>
        <v>0</v>
      </c>
      <c r="Z197" s="2">
        <f t="shared" si="33"/>
        <v>0.92473030017450963</v>
      </c>
      <c r="AA197" s="2">
        <f t="shared" si="33"/>
        <v>0</v>
      </c>
      <c r="AC197" s="17"/>
    </row>
    <row r="198" spans="1:29" x14ac:dyDescent="0.2">
      <c r="B198" s="13" t="s">
        <v>142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202" spans="1:29" x14ac:dyDescent="0.2">
      <c r="D202" t="s">
        <v>176</v>
      </c>
    </row>
    <row r="204" spans="1:29" x14ac:dyDescent="0.2">
      <c r="A204" t="s">
        <v>143</v>
      </c>
      <c r="B204" s="2">
        <f>R191</f>
        <v>7.5269699825490408E-2</v>
      </c>
    </row>
    <row r="205" spans="1:29" x14ac:dyDescent="0.2">
      <c r="A205" t="s">
        <v>144</v>
      </c>
      <c r="B205" s="2">
        <f>W191</f>
        <v>7.5269699825490408E-2</v>
      </c>
    </row>
    <row r="206" spans="1:29" x14ac:dyDescent="0.2">
      <c r="A206" t="s">
        <v>145</v>
      </c>
      <c r="B206" s="2">
        <f>Z191</f>
        <v>7.5269699825490421E-2</v>
      </c>
    </row>
    <row r="207" spans="1:29" x14ac:dyDescent="0.2">
      <c r="A207" t="s">
        <v>146</v>
      </c>
      <c r="B207" s="2">
        <v>1</v>
      </c>
    </row>
    <row r="208" spans="1:29" x14ac:dyDescent="0.2">
      <c r="A208" t="s">
        <v>147</v>
      </c>
      <c r="B208" s="2">
        <v>1</v>
      </c>
    </row>
    <row r="209" spans="1:2" x14ac:dyDescent="0.2">
      <c r="A209" t="s">
        <v>148</v>
      </c>
      <c r="B209" s="2">
        <v>1</v>
      </c>
    </row>
    <row r="210" spans="1:2" x14ac:dyDescent="0.2">
      <c r="A210" t="s">
        <v>149</v>
      </c>
      <c r="B210" s="2">
        <v>1</v>
      </c>
    </row>
    <row r="211" spans="1:2" x14ac:dyDescent="0.2">
      <c r="A211" t="s">
        <v>150</v>
      </c>
      <c r="B211" s="2">
        <v>1</v>
      </c>
    </row>
    <row r="212" spans="1:2" x14ac:dyDescent="0.2">
      <c r="A212" t="s">
        <v>151</v>
      </c>
      <c r="B212" s="2">
        <v>1</v>
      </c>
    </row>
    <row r="213" spans="1:2" x14ac:dyDescent="0.2">
      <c r="A213" t="s">
        <v>152</v>
      </c>
      <c r="B213" s="2">
        <v>1</v>
      </c>
    </row>
    <row r="214" spans="1:2" x14ac:dyDescent="0.2">
      <c r="A214" t="s">
        <v>153</v>
      </c>
      <c r="B214" s="2">
        <v>1</v>
      </c>
    </row>
    <row r="215" spans="1:2" x14ac:dyDescent="0.2">
      <c r="A215" t="s">
        <v>154</v>
      </c>
      <c r="B215" s="2">
        <v>1</v>
      </c>
    </row>
    <row r="216" spans="1:2" x14ac:dyDescent="0.2">
      <c r="A216" t="s">
        <v>155</v>
      </c>
      <c r="B216" s="2">
        <v>1</v>
      </c>
    </row>
    <row r="217" spans="1:2" x14ac:dyDescent="0.2">
      <c r="A217" t="s">
        <v>156</v>
      </c>
      <c r="B217" s="2">
        <v>1</v>
      </c>
    </row>
    <row r="218" spans="1:2" x14ac:dyDescent="0.2">
      <c r="A218" t="s">
        <v>157</v>
      </c>
      <c r="B218" s="2">
        <v>1</v>
      </c>
    </row>
    <row r="219" spans="1:2" x14ac:dyDescent="0.2">
      <c r="A219" t="s">
        <v>158</v>
      </c>
      <c r="B219" s="2">
        <v>1</v>
      </c>
    </row>
    <row r="220" spans="1:2" x14ac:dyDescent="0.2">
      <c r="A220" t="s">
        <v>159</v>
      </c>
      <c r="B220" s="2">
        <v>1</v>
      </c>
    </row>
    <row r="221" spans="1:2" x14ac:dyDescent="0.2">
      <c r="A221" t="s">
        <v>160</v>
      </c>
      <c r="B221" s="2">
        <v>1</v>
      </c>
    </row>
    <row r="222" spans="1:2" x14ac:dyDescent="0.2">
      <c r="A222" t="s">
        <v>161</v>
      </c>
      <c r="B222" s="2">
        <f>U193</f>
        <v>0.6450512376366534</v>
      </c>
    </row>
    <row r="223" spans="1:2" x14ac:dyDescent="0.2">
      <c r="A223" s="5" t="s">
        <v>162</v>
      </c>
      <c r="B223" s="2">
        <f>U194</f>
        <v>0.35494876236334655</v>
      </c>
    </row>
    <row r="224" spans="1:2" x14ac:dyDescent="0.2">
      <c r="A224" s="5" t="s">
        <v>163</v>
      </c>
      <c r="B224" s="2">
        <f>Q195</f>
        <v>3.8920168631115734E-2</v>
      </c>
    </row>
    <row r="225" spans="1:51" x14ac:dyDescent="0.2">
      <c r="A225" s="5" t="s">
        <v>164</v>
      </c>
      <c r="B225" s="2">
        <f>V195</f>
        <v>3.892016863111615E-2</v>
      </c>
    </row>
    <row r="226" spans="1:51" x14ac:dyDescent="0.2">
      <c r="A226" s="5" t="s">
        <v>165</v>
      </c>
      <c r="B226" s="2">
        <f>Y195</f>
        <v>3.8920168631116379E-2</v>
      </c>
    </row>
    <row r="227" spans="1:51" x14ac:dyDescent="0.2">
      <c r="A227" s="5" t="s">
        <v>166</v>
      </c>
      <c r="B227" s="2">
        <f>Q196</f>
        <v>0.96107983136888431</v>
      </c>
    </row>
    <row r="228" spans="1:51" x14ac:dyDescent="0.2">
      <c r="A228" s="5" t="s">
        <v>167</v>
      </c>
      <c r="B228" s="2">
        <f>V196</f>
        <v>0.96107983136888375</v>
      </c>
    </row>
    <row r="229" spans="1:51" x14ac:dyDescent="0.2">
      <c r="A229" s="5" t="s">
        <v>168</v>
      </c>
      <c r="B229" s="2">
        <f>Y196</f>
        <v>0.96107983136888364</v>
      </c>
    </row>
    <row r="230" spans="1:51" x14ac:dyDescent="0.2">
      <c r="A230" s="5" t="s">
        <v>171</v>
      </c>
      <c r="B230" s="2">
        <v>1</v>
      </c>
    </row>
    <row r="231" spans="1:51" x14ac:dyDescent="0.2">
      <c r="A231" s="5" t="s">
        <v>172</v>
      </c>
      <c r="B231" s="2">
        <v>1</v>
      </c>
    </row>
    <row r="232" spans="1:51" x14ac:dyDescent="0.2">
      <c r="A232" s="5" t="s">
        <v>173</v>
      </c>
      <c r="B232" s="2">
        <v>1</v>
      </c>
    </row>
    <row r="233" spans="1:51" x14ac:dyDescent="0.2">
      <c r="A233" s="5" t="s">
        <v>169</v>
      </c>
      <c r="B233" s="2">
        <f>R197</f>
        <v>0.92473030017450952</v>
      </c>
    </row>
    <row r="234" spans="1:51" x14ac:dyDescent="0.2">
      <c r="A234" s="5" t="s">
        <v>170</v>
      </c>
      <c r="B234" s="2">
        <f>W197</f>
        <v>0.92473030017450952</v>
      </c>
    </row>
    <row r="235" spans="1:51" x14ac:dyDescent="0.2">
      <c r="A235" s="5" t="s">
        <v>174</v>
      </c>
      <c r="B235" s="2">
        <f>X197</f>
        <v>1</v>
      </c>
    </row>
    <row r="236" spans="1:51" x14ac:dyDescent="0.2">
      <c r="A236" s="5" t="s">
        <v>175</v>
      </c>
      <c r="B236" s="2">
        <f>Z197</f>
        <v>0.92473030017450963</v>
      </c>
    </row>
    <row r="237" spans="1:51" x14ac:dyDescent="0.2">
      <c r="A237" s="5"/>
    </row>
    <row r="238" spans="1:51" x14ac:dyDescent="0.2">
      <c r="F238" t="s">
        <v>177</v>
      </c>
    </row>
    <row r="239" spans="1:51" ht="322" x14ac:dyDescent="0.2">
      <c r="B239" s="4" t="s">
        <v>143</v>
      </c>
      <c r="C239" s="4" t="s">
        <v>144</v>
      </c>
      <c r="D239" s="4" t="s">
        <v>145</v>
      </c>
      <c r="E239" s="4" t="s">
        <v>146</v>
      </c>
      <c r="F239" s="4" t="s">
        <v>147</v>
      </c>
      <c r="G239" s="4" t="s">
        <v>148</v>
      </c>
      <c r="H239" s="4" t="s">
        <v>149</v>
      </c>
      <c r="I239" s="4" t="s">
        <v>150</v>
      </c>
      <c r="J239" s="4" t="s">
        <v>151</v>
      </c>
      <c r="K239" s="4" t="s">
        <v>152</v>
      </c>
      <c r="L239" s="4" t="s">
        <v>153</v>
      </c>
      <c r="M239" s="4" t="s">
        <v>154</v>
      </c>
      <c r="N239" s="4" t="s">
        <v>155</v>
      </c>
      <c r="O239" s="4" t="s">
        <v>156</v>
      </c>
      <c r="P239" s="4" t="s">
        <v>157</v>
      </c>
      <c r="Q239" s="4" t="s">
        <v>158</v>
      </c>
      <c r="R239" s="4" t="s">
        <v>159</v>
      </c>
      <c r="S239" s="4" t="s">
        <v>160</v>
      </c>
      <c r="T239" s="4" t="s">
        <v>161</v>
      </c>
      <c r="U239" s="4" t="s">
        <v>162</v>
      </c>
      <c r="V239" s="4" t="s">
        <v>163</v>
      </c>
      <c r="W239" s="4" t="s">
        <v>164</v>
      </c>
      <c r="X239" s="4" t="s">
        <v>165</v>
      </c>
      <c r="Y239" s="4" t="s">
        <v>166</v>
      </c>
      <c r="Z239" s="4" t="s">
        <v>167</v>
      </c>
      <c r="AA239" s="4" t="s">
        <v>168</v>
      </c>
      <c r="AB239" s="4" t="s">
        <v>171</v>
      </c>
      <c r="AC239" s="4" t="s">
        <v>172</v>
      </c>
      <c r="AD239" s="4" t="s">
        <v>173</v>
      </c>
      <c r="AE239" s="4" t="s">
        <v>169</v>
      </c>
      <c r="AF239" s="4" t="s">
        <v>170</v>
      </c>
      <c r="AG239" s="4" t="s">
        <v>174</v>
      </c>
      <c r="AH239" s="4" t="s">
        <v>175</v>
      </c>
      <c r="AX239" s="4" t="s">
        <v>47</v>
      </c>
      <c r="AY239" s="4" t="s">
        <v>43</v>
      </c>
    </row>
    <row r="240" spans="1:51" x14ac:dyDescent="0.2">
      <c r="A240" s="3" t="s">
        <v>143</v>
      </c>
      <c r="B240" s="2">
        <f>B204</f>
        <v>7.5269699825490408E-2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W240" s="3" t="s">
        <v>14</v>
      </c>
      <c r="AX240" s="2" cm="1">
        <f t="array" ref="AX240:AY265">TRANSPOSE(BK42:CJ43)</f>
        <v>88.712840796490241</v>
      </c>
      <c r="AY240" s="2">
        <v>0</v>
      </c>
    </row>
    <row r="241" spans="1:51" x14ac:dyDescent="0.2">
      <c r="A241" s="3" t="s">
        <v>144</v>
      </c>
      <c r="B241" s="2">
        <v>0</v>
      </c>
      <c r="C241" s="2">
        <f>B205</f>
        <v>7.5269699825490408E-2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W241" s="3" t="s">
        <v>13</v>
      </c>
      <c r="AX241" s="2">
        <v>41.538696971306592</v>
      </c>
      <c r="AY241" s="2">
        <v>0</v>
      </c>
    </row>
    <row r="242" spans="1:51" x14ac:dyDescent="0.2">
      <c r="A242" s="3" t="s">
        <v>145</v>
      </c>
      <c r="B242" s="2">
        <v>0</v>
      </c>
      <c r="C242" s="2">
        <v>0</v>
      </c>
      <c r="D242" s="2">
        <f>B206</f>
        <v>7.5269699825490421E-2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W242" s="3" t="s">
        <v>12</v>
      </c>
      <c r="AX242" s="2">
        <v>0</v>
      </c>
      <c r="AY242" s="2">
        <v>0</v>
      </c>
    </row>
    <row r="243" spans="1:51" x14ac:dyDescent="0.2">
      <c r="A243" s="3" t="s">
        <v>146</v>
      </c>
      <c r="B243" s="2">
        <v>0</v>
      </c>
      <c r="C243" s="2">
        <v>0</v>
      </c>
      <c r="D243" s="2">
        <v>0</v>
      </c>
      <c r="E243" s="2">
        <f>B207</f>
        <v>1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W243" s="3" t="s">
        <v>98</v>
      </c>
      <c r="AX243" s="2">
        <v>0</v>
      </c>
      <c r="AY243" s="2">
        <v>0</v>
      </c>
    </row>
    <row r="244" spans="1:51" x14ac:dyDescent="0.2">
      <c r="A244" s="3" t="s">
        <v>147</v>
      </c>
      <c r="B244" s="2">
        <v>0</v>
      </c>
      <c r="C244" s="2">
        <v>0</v>
      </c>
      <c r="D244" s="2">
        <v>0</v>
      </c>
      <c r="E244" s="2">
        <v>0</v>
      </c>
      <c r="F244" s="2">
        <f>B208</f>
        <v>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W244" s="3" t="s">
        <v>11</v>
      </c>
      <c r="AX244" s="2">
        <v>137.87847297700469</v>
      </c>
      <c r="AY244" s="2">
        <v>0</v>
      </c>
    </row>
    <row r="245" spans="1:51" x14ac:dyDescent="0.2">
      <c r="A245" s="3" t="s">
        <v>148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f>B209</f>
        <v>1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W245" s="3" t="s">
        <v>10</v>
      </c>
      <c r="AX245" s="2">
        <v>0</v>
      </c>
      <c r="AY245" s="2">
        <v>0</v>
      </c>
    </row>
    <row r="246" spans="1:51" x14ac:dyDescent="0.2">
      <c r="A246" s="3" t="s">
        <v>149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f>B210</f>
        <v>1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W246" s="3" t="s">
        <v>9</v>
      </c>
      <c r="AX246" s="2">
        <v>14.802062705285756</v>
      </c>
      <c r="AY246" s="2">
        <v>0</v>
      </c>
    </row>
    <row r="247" spans="1:51" x14ac:dyDescent="0.2">
      <c r="A247" s="3" t="s">
        <v>150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f>B211</f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W247" s="3" t="s">
        <v>8</v>
      </c>
      <c r="AX247" s="2">
        <v>24.537243968652998</v>
      </c>
      <c r="AY247" s="2">
        <v>29.52008</v>
      </c>
    </row>
    <row r="248" spans="1:51" x14ac:dyDescent="0.2">
      <c r="A248" s="3" t="s">
        <v>151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f>B212</f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W248" s="3" t="s">
        <v>7</v>
      </c>
      <c r="AX248" s="2">
        <v>112.16357125293791</v>
      </c>
      <c r="AY248" s="2">
        <v>0</v>
      </c>
    </row>
    <row r="249" spans="1:51" x14ac:dyDescent="0.2">
      <c r="A249" s="3" t="s">
        <v>152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f>B213</f>
        <v>1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W249" s="3" t="s">
        <v>63</v>
      </c>
      <c r="AX249" s="2">
        <v>0</v>
      </c>
      <c r="AY249" s="2">
        <v>236.16064000000083</v>
      </c>
    </row>
    <row r="250" spans="1:51" x14ac:dyDescent="0.2">
      <c r="A250" s="3" t="s">
        <v>153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f>B214</f>
        <v>1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W250" s="3" t="s">
        <v>6</v>
      </c>
      <c r="AX250" s="2">
        <v>136.50604690606468</v>
      </c>
      <c r="AY250" s="2">
        <v>0</v>
      </c>
    </row>
    <row r="251" spans="1:51" x14ac:dyDescent="0.2">
      <c r="A251" s="3" t="s">
        <v>154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f>B215</f>
        <v>1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W251" s="3" t="s">
        <v>64</v>
      </c>
      <c r="AX251" s="2">
        <v>0</v>
      </c>
      <c r="AY251" s="2">
        <v>88.560239999999595</v>
      </c>
    </row>
    <row r="252" spans="1:51" x14ac:dyDescent="0.2">
      <c r="A252" s="3" t="s">
        <v>155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f>B216</f>
        <v>1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W252" s="3" t="s">
        <v>5</v>
      </c>
      <c r="AX252" s="2">
        <v>50.162545834576086</v>
      </c>
      <c r="AY252" s="2">
        <v>0</v>
      </c>
    </row>
    <row r="253" spans="1:51" x14ac:dyDescent="0.2">
      <c r="A253" s="3" t="s">
        <v>156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f>B217</f>
        <v>1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W253" s="3" t="s">
        <v>65</v>
      </c>
      <c r="AX253" s="2">
        <v>0</v>
      </c>
      <c r="AY253" s="2">
        <v>236.16063999999329</v>
      </c>
    </row>
    <row r="254" spans="1:51" x14ac:dyDescent="0.2">
      <c r="A254" s="3" t="s">
        <v>157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f>B218</f>
        <v>1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W254" s="3" t="s">
        <v>4</v>
      </c>
      <c r="AX254" s="2">
        <v>166.96607390163683</v>
      </c>
      <c r="AY254" s="2">
        <v>0</v>
      </c>
    </row>
    <row r="255" spans="1:51" x14ac:dyDescent="0.2">
      <c r="A255" s="3" t="s">
        <v>158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f>B219</f>
        <v>1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W255" s="3" t="s">
        <v>66</v>
      </c>
      <c r="AX255" s="2">
        <v>0</v>
      </c>
      <c r="AY255" s="2">
        <v>0</v>
      </c>
    </row>
    <row r="256" spans="1:51" x14ac:dyDescent="0.2">
      <c r="A256" s="3" t="s">
        <v>159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f>B220</f>
        <v>1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W256" s="3" t="s">
        <v>67</v>
      </c>
      <c r="AX256" s="2">
        <v>0</v>
      </c>
      <c r="AY256" s="2">
        <v>9943.4394150000007</v>
      </c>
    </row>
    <row r="257" spans="1:51" x14ac:dyDescent="0.2">
      <c r="A257" s="3" t="s">
        <v>160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f>B221</f>
        <v>1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W257" s="3" t="s">
        <v>3</v>
      </c>
      <c r="AX257" s="2">
        <v>135.43251310120743</v>
      </c>
      <c r="AY257" s="2">
        <v>0</v>
      </c>
    </row>
    <row r="258" spans="1:51" x14ac:dyDescent="0.2">
      <c r="A258" s="3" t="s">
        <v>161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f>B222</f>
        <v>0.6450512376366534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W258" s="3" t="s">
        <v>68</v>
      </c>
      <c r="AX258" s="2">
        <v>5.6354468538754663</v>
      </c>
      <c r="AY258" s="2">
        <v>0</v>
      </c>
    </row>
    <row r="259" spans="1:51" x14ac:dyDescent="0.2">
      <c r="A259" s="3" t="s">
        <v>162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f>B223</f>
        <v>0.35494876236334655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W259" s="3" t="s">
        <v>2</v>
      </c>
      <c r="AX259" s="2">
        <v>5343.8012000000008</v>
      </c>
      <c r="AY259" s="2">
        <v>0</v>
      </c>
    </row>
    <row r="260" spans="1:51" x14ac:dyDescent="0.2">
      <c r="A260" s="3" t="s">
        <v>163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f>B224</f>
        <v>3.8920168631115734E-2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W260" s="3" t="s">
        <v>69</v>
      </c>
      <c r="AX260" s="2">
        <v>0</v>
      </c>
      <c r="AY260" s="2">
        <v>754.97501244886678</v>
      </c>
    </row>
    <row r="261" spans="1:51" x14ac:dyDescent="0.2">
      <c r="A261" s="3" t="s">
        <v>164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f>B225</f>
        <v>3.892016863111615E-2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W261" s="3" t="s">
        <v>70</v>
      </c>
      <c r="AX261" s="2">
        <v>0</v>
      </c>
      <c r="AY261" s="2">
        <v>9943.4394150000007</v>
      </c>
    </row>
    <row r="262" spans="1:51" x14ac:dyDescent="0.2">
      <c r="A262" s="3" t="s">
        <v>165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f>B226</f>
        <v>3.8920168631116379E-2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W262" s="3" t="s">
        <v>1</v>
      </c>
      <c r="AX262" s="2">
        <v>0</v>
      </c>
      <c r="AY262" s="2">
        <v>0</v>
      </c>
    </row>
    <row r="263" spans="1:51" x14ac:dyDescent="0.2">
      <c r="A263" s="3" t="s">
        <v>166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f>B227</f>
        <v>0.96107983136888431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W263" s="3" t="s">
        <v>71</v>
      </c>
      <c r="AX263" s="2">
        <v>0</v>
      </c>
      <c r="AY263" s="2">
        <v>0</v>
      </c>
    </row>
    <row r="264" spans="1:51" x14ac:dyDescent="0.2">
      <c r="A264" s="3" t="s">
        <v>167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f>B228</f>
        <v>0.96107983136888375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W264" s="3" t="s">
        <v>72</v>
      </c>
      <c r="AX264" s="2">
        <v>0</v>
      </c>
      <c r="AY264" s="2">
        <v>46402.717270000001</v>
      </c>
    </row>
    <row r="265" spans="1:51" x14ac:dyDescent="0.2">
      <c r="A265" s="3" t="s">
        <v>168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f>B229</f>
        <v>0.96107983136888364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W265" s="3" t="s">
        <v>0</v>
      </c>
      <c r="AX265" s="2">
        <v>3.6664847309481892</v>
      </c>
      <c r="AY265" s="2">
        <v>0</v>
      </c>
    </row>
    <row r="266" spans="1:51" x14ac:dyDescent="0.2">
      <c r="A266" s="3" t="s">
        <v>171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f>B230</f>
        <v>1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X266" s="15" t="s">
        <v>180</v>
      </c>
      <c r="AY266" s="15"/>
    </row>
    <row r="267" spans="1:51" x14ac:dyDescent="0.2">
      <c r="A267" s="3" t="s">
        <v>172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f>B231</f>
        <v>1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51" x14ac:dyDescent="0.2">
      <c r="A268" s="3" t="s">
        <v>173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f>B232</f>
        <v>1</v>
      </c>
      <c r="AE268" s="2">
        <v>0</v>
      </c>
      <c r="AF268" s="2">
        <v>0</v>
      </c>
      <c r="AG268" s="2">
        <v>0</v>
      </c>
      <c r="AH268" s="2">
        <v>0</v>
      </c>
    </row>
    <row r="269" spans="1:51" x14ac:dyDescent="0.2">
      <c r="A269" s="3" t="s">
        <v>169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f>B233</f>
        <v>0.92473030017450952</v>
      </c>
      <c r="AF269" s="2">
        <v>0</v>
      </c>
      <c r="AG269" s="2">
        <v>0</v>
      </c>
      <c r="AH269" s="2">
        <v>0</v>
      </c>
    </row>
    <row r="270" spans="1:51" x14ac:dyDescent="0.2">
      <c r="A270" s="3" t="s">
        <v>170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f>B234</f>
        <v>0.92473030017450952</v>
      </c>
      <c r="AG270" s="2">
        <v>0</v>
      </c>
      <c r="AH270" s="2">
        <v>0</v>
      </c>
    </row>
    <row r="271" spans="1:51" x14ac:dyDescent="0.2">
      <c r="A271" s="3" t="s">
        <v>174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f>B235</f>
        <v>1</v>
      </c>
      <c r="AH271" s="2">
        <v>0</v>
      </c>
    </row>
    <row r="272" spans="1:51" x14ac:dyDescent="0.2">
      <c r="A272" s="3" t="s">
        <v>175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f>B236</f>
        <v>0.92473030017450963</v>
      </c>
    </row>
    <row r="275" spans="1:57" x14ac:dyDescent="0.2">
      <c r="F275" t="s">
        <v>178</v>
      </c>
    </row>
    <row r="276" spans="1:57" ht="244" x14ac:dyDescent="0.2">
      <c r="B276" s="4" t="s">
        <v>14</v>
      </c>
      <c r="C276" s="4" t="s">
        <v>13</v>
      </c>
      <c r="D276" s="4" t="s">
        <v>12</v>
      </c>
      <c r="E276" s="4" t="s">
        <v>98</v>
      </c>
      <c r="F276" s="4" t="s">
        <v>11</v>
      </c>
      <c r="G276" s="4" t="s">
        <v>10</v>
      </c>
      <c r="H276" s="4" t="s">
        <v>9</v>
      </c>
      <c r="I276" s="4" t="s">
        <v>8</v>
      </c>
      <c r="J276" s="4" t="s">
        <v>7</v>
      </c>
      <c r="K276" s="4" t="s">
        <v>63</v>
      </c>
      <c r="L276" s="4" t="s">
        <v>6</v>
      </c>
      <c r="M276" s="4" t="s">
        <v>64</v>
      </c>
      <c r="N276" s="4" t="s">
        <v>5</v>
      </c>
      <c r="O276" s="4" t="s">
        <v>65</v>
      </c>
      <c r="P276" s="4" t="s">
        <v>4</v>
      </c>
      <c r="Q276" s="4" t="s">
        <v>66</v>
      </c>
      <c r="R276" s="4" t="s">
        <v>67</v>
      </c>
      <c r="S276" s="4" t="s">
        <v>3</v>
      </c>
      <c r="T276" s="4" t="s">
        <v>68</v>
      </c>
      <c r="U276" s="4" t="s">
        <v>2</v>
      </c>
      <c r="V276" s="4" t="s">
        <v>69</v>
      </c>
      <c r="W276" s="4" t="s">
        <v>70</v>
      </c>
      <c r="X276" s="4" t="s">
        <v>1</v>
      </c>
      <c r="Y276" s="4" t="s">
        <v>71</v>
      </c>
      <c r="Z276" s="4" t="s">
        <v>72</v>
      </c>
      <c r="AA276" s="4" t="s">
        <v>0</v>
      </c>
      <c r="AB276" s="4"/>
      <c r="AC276" s="4"/>
      <c r="AD276" s="4"/>
      <c r="AE276" s="4"/>
      <c r="AF276" s="4"/>
      <c r="AG276" s="4"/>
      <c r="AH276" s="4"/>
      <c r="BD276" s="4" t="s">
        <v>47</v>
      </c>
      <c r="BE276" s="4" t="s">
        <v>43</v>
      </c>
    </row>
    <row r="277" spans="1:57" x14ac:dyDescent="0.2">
      <c r="A277" s="3" t="s">
        <v>143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f>B240</f>
        <v>7.5269699825490408E-2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BC277" s="3" t="s">
        <v>143</v>
      </c>
      <c r="BD277" s="9" cm="1">
        <f t="array" ref="BD277:BE309">MMULT(B277:AA309, AX240:AY265)</f>
        <v>0</v>
      </c>
      <c r="BE277" s="9">
        <v>748.43970000000002</v>
      </c>
    </row>
    <row r="278" spans="1:57" x14ac:dyDescent="0.2">
      <c r="A278" s="3" t="s">
        <v>144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f>C241</f>
        <v>7.5269699825490408E-2</v>
      </c>
      <c r="X278" s="2">
        <v>0</v>
      </c>
      <c r="Y278" s="2">
        <v>0</v>
      </c>
      <c r="Z278" s="2">
        <v>0</v>
      </c>
      <c r="AA278" s="2">
        <v>0</v>
      </c>
      <c r="BC278" s="3" t="s">
        <v>144</v>
      </c>
      <c r="BD278" s="9">
        <v>0</v>
      </c>
      <c r="BE278" s="9">
        <v>748.43970000000002</v>
      </c>
    </row>
    <row r="279" spans="1:57" x14ac:dyDescent="0.2">
      <c r="A279" s="3" t="s">
        <v>145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f>D242</f>
        <v>7.5269699825490421E-2</v>
      </c>
      <c r="AA279" s="2">
        <v>0</v>
      </c>
      <c r="BC279" s="3" t="s">
        <v>145</v>
      </c>
      <c r="BD279" s="9">
        <v>0</v>
      </c>
      <c r="BE279" s="9">
        <v>3492.7186000000006</v>
      </c>
    </row>
    <row r="280" spans="1:57" x14ac:dyDescent="0.2">
      <c r="A280" s="3" t="s">
        <v>146</v>
      </c>
      <c r="B280" s="2">
        <v>1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BC280" s="3" t="s">
        <v>146</v>
      </c>
      <c r="BD280" s="9">
        <v>88.712840796490241</v>
      </c>
      <c r="BE280" s="9">
        <v>0</v>
      </c>
    </row>
    <row r="281" spans="1:57" x14ac:dyDescent="0.2">
      <c r="A281" s="3" t="s">
        <v>147</v>
      </c>
      <c r="B281" s="2">
        <v>0</v>
      </c>
      <c r="C281" s="2">
        <v>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BC281" s="3" t="s">
        <v>147</v>
      </c>
      <c r="BD281" s="9">
        <v>41.538696971306592</v>
      </c>
      <c r="BE281" s="9">
        <v>0</v>
      </c>
    </row>
    <row r="282" spans="1:57" x14ac:dyDescent="0.2">
      <c r="A282" s="3" t="s">
        <v>148</v>
      </c>
      <c r="B282" s="2">
        <v>0</v>
      </c>
      <c r="C282" s="2">
        <v>0</v>
      </c>
      <c r="D282" s="2">
        <v>0</v>
      </c>
      <c r="E282" s="2">
        <v>0</v>
      </c>
      <c r="F282" s="2">
        <v>1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BC282" s="3" t="s">
        <v>148</v>
      </c>
      <c r="BD282" s="9">
        <v>137.87847297700469</v>
      </c>
      <c r="BE282" s="9">
        <v>0</v>
      </c>
    </row>
    <row r="283" spans="1:57" x14ac:dyDescent="0.2">
      <c r="A283" s="3" t="s">
        <v>149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BC283" s="3" t="s">
        <v>149</v>
      </c>
      <c r="BD283" s="9">
        <v>14.802062705285756</v>
      </c>
      <c r="BE283" s="9">
        <v>0</v>
      </c>
    </row>
    <row r="284" spans="1:57" x14ac:dyDescent="0.2">
      <c r="A284" s="3" t="s">
        <v>150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1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BC284" s="3" t="s">
        <v>150</v>
      </c>
      <c r="BD284" s="9">
        <v>24.537243968652998</v>
      </c>
      <c r="BE284" s="9">
        <v>29.52008</v>
      </c>
    </row>
    <row r="285" spans="1:57" x14ac:dyDescent="0.2">
      <c r="A285" s="3" t="s">
        <v>151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1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BC285" s="3" t="s">
        <v>151</v>
      </c>
      <c r="BD285" s="9">
        <v>112.16357125293791</v>
      </c>
      <c r="BE285" s="9">
        <v>0</v>
      </c>
    </row>
    <row r="286" spans="1:57" x14ac:dyDescent="0.2">
      <c r="A286" s="3" t="s">
        <v>152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1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BC286" s="3" t="s">
        <v>152</v>
      </c>
      <c r="BD286" s="9">
        <v>0</v>
      </c>
      <c r="BE286" s="9">
        <v>236.16064000000083</v>
      </c>
    </row>
    <row r="287" spans="1:57" x14ac:dyDescent="0.2">
      <c r="A287" s="3" t="s">
        <v>153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1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BC287" s="3" t="s">
        <v>153</v>
      </c>
      <c r="BD287" s="9">
        <v>136.50604690606468</v>
      </c>
      <c r="BE287" s="9">
        <v>0</v>
      </c>
    </row>
    <row r="288" spans="1:57" x14ac:dyDescent="0.2">
      <c r="A288" s="3" t="s">
        <v>154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1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BC288" s="3" t="s">
        <v>154</v>
      </c>
      <c r="BD288" s="9">
        <v>0</v>
      </c>
      <c r="BE288" s="9">
        <v>88.560239999999595</v>
      </c>
    </row>
    <row r="289" spans="1:74" x14ac:dyDescent="0.2">
      <c r="A289" s="3" t="s">
        <v>155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1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BC289" s="3" t="s">
        <v>155</v>
      </c>
      <c r="BD289" s="9">
        <v>50.162545834576086</v>
      </c>
      <c r="BE289" s="9">
        <v>0</v>
      </c>
    </row>
    <row r="290" spans="1:74" x14ac:dyDescent="0.2">
      <c r="A290" s="3" t="s">
        <v>156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1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BC290" s="3" t="s">
        <v>156</v>
      </c>
      <c r="BD290" s="9">
        <v>0</v>
      </c>
      <c r="BE290" s="9">
        <v>236.16063999999329</v>
      </c>
    </row>
    <row r="291" spans="1:74" x14ac:dyDescent="0.2">
      <c r="A291" s="3" t="s">
        <v>157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1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BC291" s="3" t="s">
        <v>157</v>
      </c>
      <c r="BD291" s="9">
        <v>166.96607390163683</v>
      </c>
      <c r="BE291" s="9">
        <v>0</v>
      </c>
    </row>
    <row r="292" spans="1:74" x14ac:dyDescent="0.2">
      <c r="A292" s="3" t="s">
        <v>158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1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BC292" s="3" t="s">
        <v>158</v>
      </c>
      <c r="BD292" s="9">
        <v>135.43251310120743</v>
      </c>
      <c r="BE292" s="9">
        <v>0</v>
      </c>
    </row>
    <row r="293" spans="1:74" x14ac:dyDescent="0.2">
      <c r="A293" s="3" t="s">
        <v>159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BC293" s="3" t="s">
        <v>159</v>
      </c>
      <c r="BD293" s="9">
        <v>5.6354468538754663</v>
      </c>
      <c r="BE293" s="9">
        <v>0</v>
      </c>
    </row>
    <row r="294" spans="1:74" x14ac:dyDescent="0.2">
      <c r="A294" s="3" t="s">
        <v>160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1</v>
      </c>
      <c r="BC294" s="3" t="s">
        <v>160</v>
      </c>
      <c r="BD294" s="9">
        <v>3.6664847309481892</v>
      </c>
      <c r="BE294" s="9">
        <v>0</v>
      </c>
    </row>
    <row r="295" spans="1:74" x14ac:dyDescent="0.2">
      <c r="A295" s="3" t="s">
        <v>161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f>T258</f>
        <v>0.6450512376366534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BC295" s="3" t="s">
        <v>161</v>
      </c>
      <c r="BD295" s="9">
        <v>3447.0255777442339</v>
      </c>
      <c r="BE295" s="9">
        <v>0</v>
      </c>
    </row>
    <row r="296" spans="1:74" x14ac:dyDescent="0.2">
      <c r="A296" s="3" t="s">
        <v>162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f>U259</f>
        <v>0.35494876236334655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BC296" s="3" t="s">
        <v>162</v>
      </c>
      <c r="BD296" s="9">
        <v>1896.7756222557664</v>
      </c>
      <c r="BE296" s="9">
        <v>0</v>
      </c>
    </row>
    <row r="297" spans="1:74" x14ac:dyDescent="0.2">
      <c r="A297" s="3" t="s">
        <v>163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f>V260</f>
        <v>3.8920168631115734E-2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BC297" s="3" t="s">
        <v>163</v>
      </c>
      <c r="BD297" s="9">
        <v>0</v>
      </c>
      <c r="BE297" s="9">
        <v>0</v>
      </c>
    </row>
    <row r="298" spans="1:74" x14ac:dyDescent="0.2">
      <c r="A298" s="3" t="s">
        <v>164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f>W261</f>
        <v>3.892016863111615E-2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BC298" s="3" t="s">
        <v>164</v>
      </c>
      <c r="BD298" s="9">
        <v>0</v>
      </c>
      <c r="BE298" s="9">
        <v>29.38375479678891</v>
      </c>
    </row>
    <row r="299" spans="1:74" x14ac:dyDescent="0.2">
      <c r="A299" s="3" t="s">
        <v>165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f>X262</f>
        <v>3.8920168631116379E-2</v>
      </c>
      <c r="Z299" s="2">
        <v>0</v>
      </c>
      <c r="AA299" s="2">
        <v>0</v>
      </c>
      <c r="BC299" s="3" t="s">
        <v>165</v>
      </c>
      <c r="BD299" s="9">
        <v>0</v>
      </c>
      <c r="BE299" s="9">
        <v>0</v>
      </c>
    </row>
    <row r="300" spans="1:74" x14ac:dyDescent="0.2">
      <c r="A300" s="3" t="s">
        <v>166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f>Y263</f>
        <v>0.96107983136888431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BC300" s="3" t="s">
        <v>166</v>
      </c>
      <c r="BD300" s="9">
        <v>0</v>
      </c>
      <c r="BE300" s="9">
        <v>0</v>
      </c>
    </row>
    <row r="301" spans="1:74" x14ac:dyDescent="0.2">
      <c r="A301" s="3" t="s">
        <v>167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f>Z264</f>
        <v>0.96107983136888375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BC301" s="3" t="s">
        <v>167</v>
      </c>
      <c r="BD301" s="9">
        <v>0</v>
      </c>
      <c r="BE301" s="9">
        <v>725.59125765207784</v>
      </c>
    </row>
    <row r="302" spans="1:74" x14ac:dyDescent="0.2">
      <c r="A302" s="3" t="s">
        <v>168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f>AA265</f>
        <v>0.96107983136888364</v>
      </c>
      <c r="Z302" s="2">
        <v>0</v>
      </c>
      <c r="AA302" s="2">
        <v>0</v>
      </c>
      <c r="BC302" s="3" t="s">
        <v>168</v>
      </c>
      <c r="BD302" s="9">
        <v>0</v>
      </c>
      <c r="BE302" s="9">
        <v>0</v>
      </c>
    </row>
    <row r="303" spans="1:74" x14ac:dyDescent="0.2">
      <c r="A303" s="3" t="s">
        <v>171</v>
      </c>
      <c r="B303" s="2">
        <v>0</v>
      </c>
      <c r="C303" s="2">
        <v>0</v>
      </c>
      <c r="D303" s="2">
        <f>AB266</f>
        <v>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Y303" s="15"/>
      <c r="AZ303" s="15"/>
      <c r="BA303" s="15"/>
      <c r="BB303" s="15"/>
      <c r="BC303" s="3" t="s">
        <v>171</v>
      </c>
      <c r="BD303" s="9">
        <v>0</v>
      </c>
      <c r="BE303" s="9">
        <v>0</v>
      </c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</row>
    <row r="304" spans="1:74" x14ac:dyDescent="0.2">
      <c r="A304" s="3" t="s">
        <v>172</v>
      </c>
      <c r="B304" s="2">
        <v>0</v>
      </c>
      <c r="C304" s="2">
        <v>0</v>
      </c>
      <c r="D304" s="2">
        <v>0</v>
      </c>
      <c r="E304" s="2">
        <f>AC267</f>
        <v>1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BC304" s="3" t="s">
        <v>172</v>
      </c>
      <c r="BD304" s="9">
        <v>0</v>
      </c>
      <c r="BE304" s="9">
        <v>0</v>
      </c>
    </row>
    <row r="305" spans="1:81" x14ac:dyDescent="0.2">
      <c r="A305" s="3" t="s">
        <v>173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f>AD268</f>
        <v>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BC305" s="3" t="s">
        <v>173</v>
      </c>
      <c r="BD305" s="9">
        <v>0</v>
      </c>
      <c r="BE305" s="9">
        <v>0</v>
      </c>
    </row>
    <row r="306" spans="1:81" x14ac:dyDescent="0.2">
      <c r="A306" s="3" t="s">
        <v>169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f>AE269</f>
        <v>0.92473030017450952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BC306" s="3" t="s">
        <v>169</v>
      </c>
      <c r="BD306" s="9">
        <v>0</v>
      </c>
      <c r="BE306" s="9">
        <v>9194.9997149999999</v>
      </c>
    </row>
    <row r="307" spans="1:81" x14ac:dyDescent="0.2">
      <c r="A307" s="3" t="s">
        <v>170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f>AF270</f>
        <v>0.92473030017450952</v>
      </c>
      <c r="X307" s="2">
        <v>0</v>
      </c>
      <c r="Y307" s="2">
        <v>0</v>
      </c>
      <c r="Z307" s="2">
        <v>0</v>
      </c>
      <c r="AA307" s="2">
        <v>0</v>
      </c>
      <c r="BC307" s="3" t="s">
        <v>170</v>
      </c>
      <c r="BD307" s="9">
        <v>0</v>
      </c>
      <c r="BE307" s="9">
        <v>9194.9997149999999</v>
      </c>
    </row>
    <row r="308" spans="1:81" x14ac:dyDescent="0.2">
      <c r="A308" s="3" t="s">
        <v>174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f>AG271</f>
        <v>1</v>
      </c>
      <c r="Y308" s="2">
        <v>0</v>
      </c>
      <c r="Z308" s="2">
        <v>0</v>
      </c>
      <c r="AA308" s="2">
        <v>0</v>
      </c>
      <c r="BC308" s="3" t="s">
        <v>174</v>
      </c>
      <c r="BD308" s="9">
        <v>0</v>
      </c>
      <c r="BE308" s="9">
        <v>0</v>
      </c>
    </row>
    <row r="309" spans="1:81" x14ac:dyDescent="0.2">
      <c r="A309" s="3" t="s">
        <v>175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f>AH272</f>
        <v>0.92473030017450963</v>
      </c>
      <c r="AA309" s="2">
        <v>0</v>
      </c>
      <c r="BC309" s="3" t="s">
        <v>175</v>
      </c>
      <c r="BD309" s="9">
        <v>0</v>
      </c>
      <c r="BE309" s="9">
        <v>42909.998670000001</v>
      </c>
    </row>
    <row r="310" spans="1:81" x14ac:dyDescent="0.2">
      <c r="B310" s="13" t="s">
        <v>179</v>
      </c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BD310" s="15" t="s">
        <v>181</v>
      </c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</row>
  </sheetData>
  <mergeCells count="18">
    <mergeCell ref="B198:AA198"/>
    <mergeCell ref="B310:AA310"/>
    <mergeCell ref="J10:M10"/>
    <mergeCell ref="R10:U10"/>
    <mergeCell ref="B184:AA184"/>
    <mergeCell ref="B186:AA186"/>
    <mergeCell ref="L102:AK102"/>
    <mergeCell ref="BK44:CJ44"/>
    <mergeCell ref="BK45:CJ45"/>
    <mergeCell ref="BK46:CJ46"/>
    <mergeCell ref="B68:C68"/>
    <mergeCell ref="F44:AE44"/>
    <mergeCell ref="B8:C8"/>
    <mergeCell ref="B15:C15"/>
    <mergeCell ref="B10:C10"/>
    <mergeCell ref="B30:C30"/>
    <mergeCell ref="AI44:BH44"/>
    <mergeCell ref="CO46:DN46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PSB &amp; Charcoal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Heun</dc:creator>
  <cp:lastModifiedBy>Matthew Heun</cp:lastModifiedBy>
  <dcterms:created xsi:type="dcterms:W3CDTF">2026-10-25T16:42:17Z</dcterms:created>
  <dcterms:modified xsi:type="dcterms:W3CDTF">2026-10-25T20:18:40Z</dcterms:modified>
</cp:coreProperties>
</file>