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kh2/github/PFUPipeline2/report_scripts/Matos Henrique/"/>
    </mc:Choice>
  </mc:AlternateContent>
  <xr:revisionPtr revIDLastSave="0" documentId="13_ncr:1_{CC67CAD5-D827-B24F-9C9D-79BE0A5D6418}" xr6:coauthVersionLast="47" xr6:coauthVersionMax="47" xr10:uidLastSave="{00000000-0000-0000-0000-000000000000}"/>
  <bookViews>
    <workbookView xWindow="0" yWindow="600" windowWidth="61440" windowHeight="33940" xr2:uid="{B1CCFE98-CF9C-154F-ADEE-F9D4FC34BD6E}"/>
  </bookViews>
  <sheets>
    <sheet name="PSB &amp; Charco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47" i="1" l="1"/>
  <c r="O45" i="1"/>
  <c r="N44" i="1"/>
  <c r="AH64" i="1"/>
  <c r="AI65" i="1"/>
  <c r="AA57" i="1"/>
  <c r="AD235" i="1"/>
  <c r="G272" i="1" s="1"/>
  <c r="AC234" i="1"/>
  <c r="E271" i="1" s="1"/>
  <c r="AB233" i="1"/>
  <c r="D270" i="1" s="1"/>
  <c r="S224" i="1"/>
  <c r="R223" i="1"/>
  <c r="Q222" i="1"/>
  <c r="P221" i="1"/>
  <c r="O220" i="1"/>
  <c r="N219" i="1"/>
  <c r="M218" i="1"/>
  <c r="L217" i="1"/>
  <c r="K216" i="1"/>
  <c r="J215" i="1"/>
  <c r="I214" i="1"/>
  <c r="H213" i="1"/>
  <c r="G212" i="1"/>
  <c r="F211" i="1"/>
  <c r="E210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B151" i="1"/>
  <c r="AK67" i="1"/>
  <c r="AJ66" i="1"/>
  <c r="AG63" i="1"/>
  <c r="AF62" i="1"/>
  <c r="AE61" i="1"/>
  <c r="AD60" i="1"/>
  <c r="AC59" i="1"/>
  <c r="AB58" i="1"/>
  <c r="Z56" i="1"/>
  <c r="Y55" i="1"/>
  <c r="X54" i="1"/>
  <c r="W53" i="1"/>
  <c r="V52" i="1"/>
  <c r="U51" i="1"/>
  <c r="T50" i="1"/>
  <c r="S49" i="1"/>
  <c r="R48" i="1"/>
  <c r="P46" i="1"/>
  <c r="M43" i="1"/>
  <c r="L42" i="1"/>
  <c r="F8" i="1" a="1"/>
  <c r="AI8" i="1" s="1"/>
  <c r="C158" i="1" l="1"/>
  <c r="C162" i="1"/>
  <c r="C164" i="1"/>
  <c r="C161" i="1"/>
  <c r="C159" i="1"/>
  <c r="C160" i="1"/>
  <c r="C163" i="1"/>
  <c r="D158" i="1"/>
  <c r="D162" i="1"/>
  <c r="D163" i="1"/>
  <c r="D160" i="1"/>
  <c r="D164" i="1"/>
  <c r="D159" i="1"/>
  <c r="D161" i="1"/>
  <c r="E161" i="1"/>
  <c r="E159" i="1"/>
  <c r="E160" i="1"/>
  <c r="E163" i="1"/>
  <c r="E164" i="1"/>
  <c r="E158" i="1"/>
  <c r="E162" i="1"/>
  <c r="F162" i="1"/>
  <c r="F161" i="1"/>
  <c r="F158" i="1"/>
  <c r="F159" i="1"/>
  <c r="F160" i="1"/>
  <c r="F163" i="1"/>
  <c r="F164" i="1"/>
  <c r="G164" i="1"/>
  <c r="G161" i="1"/>
  <c r="G159" i="1"/>
  <c r="G158" i="1"/>
  <c r="G163" i="1"/>
  <c r="G162" i="1"/>
  <c r="G160" i="1"/>
  <c r="H159" i="1"/>
  <c r="H163" i="1"/>
  <c r="H160" i="1"/>
  <c r="H158" i="1"/>
  <c r="H164" i="1"/>
  <c r="H161" i="1"/>
  <c r="H162" i="1"/>
  <c r="I158" i="1"/>
  <c r="I160" i="1"/>
  <c r="I159" i="1"/>
  <c r="I164" i="1"/>
  <c r="I161" i="1"/>
  <c r="I163" i="1"/>
  <c r="I162" i="1"/>
  <c r="J160" i="1"/>
  <c r="J164" i="1"/>
  <c r="J163" i="1"/>
  <c r="J161" i="1"/>
  <c r="J159" i="1"/>
  <c r="J158" i="1"/>
  <c r="J162" i="1"/>
  <c r="K159" i="1"/>
  <c r="K160" i="1"/>
  <c r="K161" i="1"/>
  <c r="K164" i="1"/>
  <c r="K163" i="1"/>
  <c r="K158" i="1"/>
  <c r="K162" i="1"/>
  <c r="L164" i="1"/>
  <c r="L158" i="1"/>
  <c r="L161" i="1"/>
  <c r="L163" i="1"/>
  <c r="L159" i="1"/>
  <c r="L160" i="1"/>
  <c r="L162" i="1"/>
  <c r="M160" i="1"/>
  <c r="M161" i="1"/>
  <c r="M164" i="1"/>
  <c r="M163" i="1"/>
  <c r="M159" i="1"/>
  <c r="M162" i="1"/>
  <c r="M158" i="1"/>
  <c r="N164" i="1"/>
  <c r="N159" i="1"/>
  <c r="N162" i="1"/>
  <c r="N160" i="1"/>
  <c r="N158" i="1"/>
  <c r="N161" i="1"/>
  <c r="N163" i="1"/>
  <c r="O164" i="1"/>
  <c r="O163" i="1"/>
  <c r="O160" i="1"/>
  <c r="O161" i="1"/>
  <c r="O158" i="1"/>
  <c r="O162" i="1"/>
  <c r="O159" i="1"/>
  <c r="P158" i="1"/>
  <c r="P159" i="1"/>
  <c r="P160" i="1"/>
  <c r="P162" i="1"/>
  <c r="P163" i="1"/>
  <c r="P161" i="1"/>
  <c r="P164" i="1"/>
  <c r="Q163" i="1"/>
  <c r="B194" i="1" s="1"/>
  <c r="Y230" i="1" s="1"/>
  <c r="Q267" i="1" s="1"/>
  <c r="Q158" i="1"/>
  <c r="Q164" i="1"/>
  <c r="Q160" i="1"/>
  <c r="Q162" i="1"/>
  <c r="B191" i="1" s="1"/>
  <c r="V227" i="1" s="1"/>
  <c r="Q264" i="1" s="1"/>
  <c r="Q161" i="1"/>
  <c r="Q159" i="1"/>
  <c r="R159" i="1"/>
  <c r="R161" i="1"/>
  <c r="R158" i="1"/>
  <c r="B171" i="1" s="1"/>
  <c r="B207" i="1" s="1"/>
  <c r="R244" i="1" s="1"/>
  <c r="R162" i="1"/>
  <c r="R160" i="1"/>
  <c r="R164" i="1"/>
  <c r="B200" i="1" s="1"/>
  <c r="AE236" i="1" s="1"/>
  <c r="R273" i="1" s="1"/>
  <c r="R163" i="1"/>
  <c r="S163" i="1"/>
  <c r="S160" i="1"/>
  <c r="S162" i="1"/>
  <c r="S164" i="1"/>
  <c r="S161" i="1"/>
  <c r="S159" i="1"/>
  <c r="S158" i="1"/>
  <c r="T160" i="1"/>
  <c r="T159" i="1"/>
  <c r="T158" i="1"/>
  <c r="T163" i="1"/>
  <c r="T161" i="1"/>
  <c r="T162" i="1"/>
  <c r="T164" i="1"/>
  <c r="U158" i="1"/>
  <c r="U163" i="1"/>
  <c r="U160" i="1"/>
  <c r="B189" i="1" s="1"/>
  <c r="T225" i="1" s="1"/>
  <c r="U262" i="1" s="1"/>
  <c r="U159" i="1"/>
  <c r="U162" i="1"/>
  <c r="U164" i="1"/>
  <c r="U161" i="1"/>
  <c r="B190" i="1" s="1"/>
  <c r="U226" i="1" s="1"/>
  <c r="U263" i="1" s="1"/>
  <c r="V161" i="1"/>
  <c r="V158" i="1"/>
  <c r="V160" i="1"/>
  <c r="V159" i="1"/>
  <c r="V162" i="1"/>
  <c r="B192" i="1" s="1"/>
  <c r="W228" i="1" s="1"/>
  <c r="V265" i="1" s="1"/>
  <c r="V163" i="1"/>
  <c r="B195" i="1" s="1"/>
  <c r="Z231" i="1" s="1"/>
  <c r="V268" i="1" s="1"/>
  <c r="V164" i="1"/>
  <c r="W161" i="1"/>
  <c r="W162" i="1"/>
  <c r="W158" i="1"/>
  <c r="B172" i="1" s="1"/>
  <c r="C208" i="1" s="1"/>
  <c r="W245" i="1" s="1"/>
  <c r="W164" i="1"/>
  <c r="B201" i="1" s="1"/>
  <c r="AF237" i="1" s="1"/>
  <c r="W274" i="1" s="1"/>
  <c r="W159" i="1"/>
  <c r="W163" i="1"/>
  <c r="W160" i="1"/>
  <c r="X159" i="1"/>
  <c r="X160" i="1"/>
  <c r="X163" i="1"/>
  <c r="X158" i="1"/>
  <c r="X162" i="1"/>
  <c r="X164" i="1"/>
  <c r="B202" i="1" s="1"/>
  <c r="AG238" i="1" s="1"/>
  <c r="X275" i="1" s="1"/>
  <c r="X161" i="1"/>
  <c r="Y161" i="1"/>
  <c r="Y159" i="1"/>
  <c r="Y160" i="1"/>
  <c r="Y164" i="1"/>
  <c r="Y158" i="1"/>
  <c r="Y162" i="1"/>
  <c r="B193" i="1" s="1"/>
  <c r="X229" i="1" s="1"/>
  <c r="Y266" i="1" s="1"/>
  <c r="Y163" i="1"/>
  <c r="B196" i="1" s="1"/>
  <c r="AA232" i="1" s="1"/>
  <c r="Y269" i="1" s="1"/>
  <c r="Z162" i="1"/>
  <c r="Z158" i="1"/>
  <c r="B173" i="1" s="1"/>
  <c r="D209" i="1" s="1"/>
  <c r="Z246" i="1" s="1"/>
  <c r="Z164" i="1"/>
  <c r="B203" i="1" s="1"/>
  <c r="AH239" i="1" s="1"/>
  <c r="Z276" i="1" s="1"/>
  <c r="Z163" i="1"/>
  <c r="Z160" i="1"/>
  <c r="Z159" i="1"/>
  <c r="Z161" i="1"/>
  <c r="AA162" i="1"/>
  <c r="AA161" i="1"/>
  <c r="AA159" i="1"/>
  <c r="AA160" i="1"/>
  <c r="AA164" i="1"/>
  <c r="AA163" i="1"/>
  <c r="AA158" i="1"/>
  <c r="B158" i="1"/>
  <c r="B164" i="1"/>
  <c r="B159" i="1"/>
  <c r="B161" i="1"/>
  <c r="B162" i="1"/>
  <c r="B163" i="1"/>
  <c r="B160" i="1"/>
  <c r="BA8" i="1"/>
  <c r="BF9" i="1"/>
  <c r="BH8" i="1"/>
  <c r="BC9" i="1"/>
  <c r="AM8" i="1"/>
  <c r="BB9" i="1"/>
  <c r="AR9" i="1"/>
  <c r="AV9" i="1"/>
  <c r="AX8" i="1"/>
  <c r="AN8" i="1"/>
  <c r="AW8" i="1"/>
  <c r="AN9" i="1"/>
  <c r="AQ8" i="1"/>
  <c r="AS9" i="1"/>
  <c r="BG8" i="1"/>
  <c r="BF8" i="1"/>
  <c r="AV8" i="1"/>
  <c r="AL8" i="1"/>
  <c r="BA9" i="1"/>
  <c r="AQ9" i="1"/>
  <c r="BE8" i="1"/>
  <c r="AU8" i="1"/>
  <c r="AK8" i="1"/>
  <c r="AZ9" i="1"/>
  <c r="AP9" i="1"/>
  <c r="BD8" i="1"/>
  <c r="AT8" i="1"/>
  <c r="AJ8" i="1"/>
  <c r="AY9" i="1"/>
  <c r="AO9" i="1"/>
  <c r="BC8" i="1"/>
  <c r="AS8" i="1"/>
  <c r="BH9" i="1"/>
  <c r="AX9" i="1"/>
  <c r="BB8" i="1"/>
  <c r="AR8" i="1"/>
  <c r="BG9" i="1"/>
  <c r="AW9" i="1"/>
  <c r="AM9" i="1"/>
  <c r="AL9" i="1"/>
  <c r="AK9" i="1"/>
  <c r="AZ8" i="1"/>
  <c r="AP8" i="1"/>
  <c r="BE9" i="1"/>
  <c r="AU9" i="1"/>
  <c r="AY8" i="1"/>
  <c r="AO8" i="1"/>
  <c r="BD9" i="1"/>
  <c r="AT9" i="1"/>
  <c r="AJ9" i="1"/>
  <c r="AI9" i="1"/>
  <c r="BK8" i="1" l="1" a="1"/>
  <c r="CD9" i="1" l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CJ8" i="1"/>
  <c r="CI8" i="1"/>
  <c r="CH8" i="1"/>
  <c r="CG8" i="1"/>
  <c r="CF8" i="1"/>
  <c r="CE8" i="1"/>
  <c r="CD8" i="1"/>
  <c r="CC8" i="1"/>
  <c r="BS8" i="1"/>
  <c r="BR8" i="1"/>
  <c r="BQ8" i="1"/>
  <c r="BP8" i="1"/>
  <c r="BO8" i="1"/>
  <c r="BN8" i="1"/>
  <c r="BM8" i="1"/>
  <c r="BL8" i="1"/>
  <c r="BK8" i="1"/>
  <c r="CJ9" i="1"/>
  <c r="CI9" i="1"/>
  <c r="CH9" i="1"/>
  <c r="CG9" i="1"/>
  <c r="CF9" i="1"/>
  <c r="CE9" i="1"/>
  <c r="CB8" i="1"/>
  <c r="CA8" i="1"/>
  <c r="BZ8" i="1"/>
  <c r="BY8" i="1"/>
  <c r="BX8" i="1"/>
  <c r="BW8" i="1"/>
  <c r="BV8" i="1"/>
  <c r="BU8" i="1"/>
  <c r="BT8" i="1"/>
  <c r="AX207" i="1" l="1" a="1"/>
  <c r="BD244" i="1" s="1" a="1"/>
  <c r="BD315" i="1" s="1"/>
  <c r="BD353" i="1" s="1"/>
  <c r="CI366" i="1" s="1"/>
  <c r="BD311" i="1" l="1"/>
  <c r="BD349" i="1" s="1"/>
  <c r="BO366" i="1" s="1"/>
  <c r="BD312" i="1"/>
  <c r="BD350" i="1" s="1"/>
  <c r="CJ366" i="1" s="1"/>
  <c r="BD310" i="1"/>
  <c r="BD348" i="1" s="1"/>
  <c r="BP366" i="1" s="1"/>
  <c r="BD307" i="1"/>
  <c r="BD345" i="1" s="1"/>
  <c r="CF364" i="1" s="1"/>
  <c r="BD309" i="1"/>
  <c r="BD347" i="1" s="1"/>
  <c r="CH364" i="1" s="1"/>
  <c r="BD304" i="1"/>
  <c r="BD342" i="1" s="1"/>
  <c r="CF363" i="1" s="1"/>
  <c r="BD306" i="1"/>
  <c r="BD344" i="1" s="1"/>
  <c r="CH363" i="1" s="1"/>
  <c r="BD308" i="1"/>
  <c r="BD316" i="1"/>
  <c r="BD354" i="1" s="1"/>
  <c r="CM365" i="1" s="1"/>
  <c r="CM383" i="1" s="1"/>
  <c r="BD314" i="1"/>
  <c r="BD352" i="1" s="1"/>
  <c r="CL365" i="1" s="1"/>
  <c r="CL383" i="1" s="1"/>
  <c r="BD313" i="1"/>
  <c r="BD351" i="1" s="1"/>
  <c r="CK365" i="1" s="1"/>
  <c r="BD305" i="1"/>
  <c r="BD343" i="1" s="1"/>
  <c r="CG363" i="1" s="1"/>
  <c r="BD301" i="1"/>
  <c r="BD339" i="1" s="1"/>
  <c r="CD359" i="1" s="1"/>
  <c r="BD302" i="1"/>
  <c r="BD340" i="1" s="1"/>
  <c r="CE361" i="1" s="1"/>
  <c r="BD303" i="1"/>
  <c r="BD341" i="1" s="1"/>
  <c r="CE362" i="1" s="1"/>
  <c r="BD299" i="1"/>
  <c r="BD337" i="1" s="1"/>
  <c r="CB359" i="1" s="1"/>
  <c r="BD298" i="1"/>
  <c r="BD336" i="1" s="1"/>
  <c r="CA359" i="1" s="1"/>
  <c r="BD297" i="1"/>
  <c r="BD335" i="1" s="1"/>
  <c r="BZ360" i="1" s="1"/>
  <c r="BD296" i="1"/>
  <c r="BD334" i="1" s="1"/>
  <c r="BY359" i="1" s="1"/>
  <c r="BD295" i="1"/>
  <c r="BD333" i="1" s="1"/>
  <c r="BX360" i="1" s="1"/>
  <c r="BD294" i="1"/>
  <c r="BD332" i="1" s="1"/>
  <c r="BW359" i="1" s="1"/>
  <c r="BD293" i="1"/>
  <c r="BD331" i="1" s="1"/>
  <c r="BV360" i="1" s="1"/>
  <c r="BD292" i="1"/>
  <c r="BD330" i="1" s="1"/>
  <c r="BU359" i="1" s="1"/>
  <c r="BD291" i="1"/>
  <c r="BD329" i="1" s="1"/>
  <c r="BT360" i="1" s="1"/>
  <c r="BD290" i="1"/>
  <c r="BD328" i="1" s="1"/>
  <c r="BT359" i="1" s="1"/>
  <c r="BD289" i="1"/>
  <c r="BD327" i="1" s="1"/>
  <c r="BS359" i="1" s="1"/>
  <c r="BD288" i="1"/>
  <c r="BD326" i="1" s="1"/>
  <c r="BR359" i="1" s="1"/>
  <c r="BD287" i="1"/>
  <c r="BD325" i="1" s="1"/>
  <c r="BQ359" i="1" s="1"/>
  <c r="BD286" i="1"/>
  <c r="BD324" i="1" s="1"/>
  <c r="BN359" i="1" s="1"/>
  <c r="BD285" i="1"/>
  <c r="BD323" i="1" s="1"/>
  <c r="BM358" i="1" s="1"/>
  <c r="BD284" i="1"/>
  <c r="BD322" i="1" s="1"/>
  <c r="BL358" i="1" s="1"/>
  <c r="BD283" i="1"/>
  <c r="BD321" i="1" s="1"/>
  <c r="BK358" i="1" s="1"/>
  <c r="BD300" i="1"/>
  <c r="BD338" i="1" s="1"/>
  <c r="CC359" i="1" s="1"/>
  <c r="CO365" i="1" l="1"/>
  <c r="CK383" i="1"/>
  <c r="CO361" i="1"/>
  <c r="CE379" i="1"/>
  <c r="CO362" i="1"/>
  <c r="CE380" i="1"/>
  <c r="CO360" i="1"/>
  <c r="CO359" i="1"/>
  <c r="CO363" i="1"/>
  <c r="CO366" i="1"/>
  <c r="BD346" i="1"/>
  <c r="CG364" i="1" s="1"/>
  <c r="CO358" i="1"/>
  <c r="BX383" i="1" l="1"/>
  <c r="CE383" i="1"/>
  <c r="CD383" i="1"/>
  <c r="CA383" i="1"/>
  <c r="BZ383" i="1"/>
  <c r="BY383" i="1"/>
  <c r="BV383" i="1"/>
  <c r="BT383" i="1"/>
  <c r="BU383" i="1"/>
  <c r="BM383" i="1"/>
  <c r="CB383" i="1"/>
  <c r="CC383" i="1"/>
  <c r="CF383" i="1"/>
  <c r="CG383" i="1"/>
  <c r="CJ383" i="1"/>
  <c r="CH383" i="1"/>
  <c r="BL383" i="1"/>
  <c r="BK383" i="1"/>
  <c r="BN383" i="1"/>
  <c r="BO383" i="1"/>
  <c r="BP383" i="1"/>
  <c r="BQ383" i="1"/>
  <c r="BR383" i="1"/>
  <c r="BS383" i="1"/>
  <c r="CI383" i="1"/>
  <c r="BW383" i="1"/>
  <c r="BT379" i="1"/>
  <c r="BW379" i="1"/>
  <c r="BX379" i="1"/>
  <c r="BU379" i="1"/>
  <c r="BY379" i="1"/>
  <c r="BZ379" i="1"/>
  <c r="CA379" i="1"/>
  <c r="CB379" i="1"/>
  <c r="CC379" i="1"/>
  <c r="CD379" i="1"/>
  <c r="CL379" i="1"/>
  <c r="CK379" i="1"/>
  <c r="CM379" i="1"/>
  <c r="CH379" i="1"/>
  <c r="CF379" i="1"/>
  <c r="BS379" i="1"/>
  <c r="BR379" i="1"/>
  <c r="BQ379" i="1"/>
  <c r="BP379" i="1"/>
  <c r="BO379" i="1"/>
  <c r="BN379" i="1"/>
  <c r="BM379" i="1"/>
  <c r="BL379" i="1"/>
  <c r="BK379" i="1"/>
  <c r="CG379" i="1"/>
  <c r="CJ379" i="1"/>
  <c r="BV379" i="1"/>
  <c r="CI379" i="1"/>
  <c r="CL380" i="1"/>
  <c r="CA380" i="1"/>
  <c r="BZ380" i="1"/>
  <c r="BY380" i="1"/>
  <c r="BL380" i="1"/>
  <c r="CD380" i="1"/>
  <c r="CI380" i="1"/>
  <c r="BX380" i="1"/>
  <c r="BK380" i="1"/>
  <c r="BO380" i="1"/>
  <c r="BP380" i="1"/>
  <c r="BM380" i="1"/>
  <c r="BR380" i="1"/>
  <c r="BS380" i="1"/>
  <c r="BN380" i="1"/>
  <c r="CJ380" i="1"/>
  <c r="CM380" i="1"/>
  <c r="BU380" i="1"/>
  <c r="BW380" i="1"/>
  <c r="CB380" i="1"/>
  <c r="BT380" i="1"/>
  <c r="BQ380" i="1"/>
  <c r="CF380" i="1"/>
  <c r="CG380" i="1"/>
  <c r="CH380" i="1"/>
  <c r="CK380" i="1"/>
  <c r="CC380" i="1"/>
  <c r="BV380" i="1"/>
  <c r="BO378" i="1"/>
  <c r="BT378" i="1"/>
  <c r="BV378" i="1"/>
  <c r="BX378" i="1"/>
  <c r="BZ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BK378" i="1"/>
  <c r="BL378" i="1"/>
  <c r="BM378" i="1"/>
  <c r="BN378" i="1"/>
  <c r="CA378" i="1"/>
  <c r="BY378" i="1"/>
  <c r="BW378" i="1"/>
  <c r="BU378" i="1"/>
  <c r="BS378" i="1"/>
  <c r="BR378" i="1"/>
  <c r="BQ378" i="1"/>
  <c r="BP378" i="1"/>
  <c r="BQ377" i="1"/>
  <c r="CM377" i="1"/>
  <c r="CD377" i="1"/>
  <c r="BV377" i="1"/>
  <c r="CC377" i="1"/>
  <c r="BN377" i="1"/>
  <c r="BR377" i="1"/>
  <c r="BS377" i="1"/>
  <c r="BT377" i="1"/>
  <c r="BL377" i="1"/>
  <c r="BU377" i="1"/>
  <c r="BM377" i="1"/>
  <c r="BW377" i="1"/>
  <c r="BO377" i="1"/>
  <c r="BY377" i="1"/>
  <c r="BP377" i="1"/>
  <c r="CA377" i="1"/>
  <c r="CB377" i="1"/>
  <c r="BX377" i="1"/>
  <c r="BZ377" i="1"/>
  <c r="CE377" i="1"/>
  <c r="CF377" i="1"/>
  <c r="CG377" i="1"/>
  <c r="CH377" i="1"/>
  <c r="CI377" i="1"/>
  <c r="CJ377" i="1"/>
  <c r="CK377" i="1"/>
  <c r="CL377" i="1"/>
  <c r="BK377" i="1"/>
  <c r="CK381" i="1"/>
  <c r="CD381" i="1"/>
  <c r="CM381" i="1"/>
  <c r="CL381" i="1"/>
  <c r="BV381" i="1"/>
  <c r="BR381" i="1"/>
  <c r="BO381" i="1"/>
  <c r="BN381" i="1"/>
  <c r="BM381" i="1"/>
  <c r="CE381" i="1"/>
  <c r="BK381" i="1"/>
  <c r="BS381" i="1"/>
  <c r="BT381" i="1"/>
  <c r="BU381" i="1"/>
  <c r="BX381" i="1"/>
  <c r="BY381" i="1"/>
  <c r="CB381" i="1"/>
  <c r="CC381" i="1"/>
  <c r="CF381" i="1"/>
  <c r="CG381" i="1"/>
  <c r="CI381" i="1"/>
  <c r="BL381" i="1"/>
  <c r="BP381" i="1"/>
  <c r="BQ381" i="1"/>
  <c r="BW381" i="1"/>
  <c r="BZ381" i="1"/>
  <c r="CA381" i="1"/>
  <c r="CH381" i="1"/>
  <c r="CJ381" i="1"/>
  <c r="CD384" i="1"/>
  <c r="BT384" i="1"/>
  <c r="CC384" i="1"/>
  <c r="BP384" i="1"/>
  <c r="BO384" i="1"/>
  <c r="BL384" i="1"/>
  <c r="BM384" i="1"/>
  <c r="BN384" i="1"/>
  <c r="BQ384" i="1"/>
  <c r="BR384" i="1"/>
  <c r="BK384" i="1"/>
  <c r="CA384" i="1"/>
  <c r="CB384" i="1"/>
  <c r="CJ384" i="1"/>
  <c r="BU384" i="1"/>
  <c r="CE384" i="1"/>
  <c r="CK384" i="1"/>
  <c r="CM384" i="1"/>
  <c r="BV384" i="1"/>
  <c r="CI384" i="1"/>
  <c r="CL384" i="1"/>
  <c r="CH384" i="1"/>
  <c r="CG384" i="1"/>
  <c r="CF384" i="1"/>
  <c r="BZ384" i="1"/>
  <c r="BY384" i="1"/>
  <c r="BX384" i="1"/>
  <c r="BW384" i="1"/>
  <c r="BS384" i="1"/>
  <c r="CO364" i="1"/>
  <c r="CG382" i="1"/>
  <c r="BK376" i="1"/>
  <c r="CE376" i="1"/>
  <c r="CJ376" i="1"/>
  <c r="CB376" i="1"/>
  <c r="CA376" i="1"/>
  <c r="BT376" i="1"/>
  <c r="BN376" i="1"/>
  <c r="CI376" i="1"/>
  <c r="CM376" i="1"/>
  <c r="BZ376" i="1"/>
  <c r="BY376" i="1"/>
  <c r="BX376" i="1"/>
  <c r="BW376" i="1"/>
  <c r="BS376" i="1"/>
  <c r="BR376" i="1"/>
  <c r="BQ376" i="1"/>
  <c r="BP376" i="1"/>
  <c r="BO376" i="1"/>
  <c r="CL376" i="1"/>
  <c r="CK376" i="1"/>
  <c r="BM376" i="1"/>
  <c r="BL376" i="1"/>
  <c r="CH376" i="1"/>
  <c r="CG376" i="1"/>
  <c r="CD376" i="1"/>
  <c r="CC376" i="1"/>
  <c r="BV376" i="1"/>
  <c r="BU376" i="1"/>
  <c r="CF376" i="1"/>
  <c r="BS382" i="1" l="1"/>
  <c r="CF382" i="1"/>
  <c r="CH382" i="1"/>
  <c r="CL382" i="1"/>
  <c r="CK382" i="1"/>
  <c r="CB382" i="1"/>
  <c r="CA382" i="1"/>
  <c r="BU382" i="1"/>
  <c r="CJ382" i="1"/>
  <c r="CI382" i="1"/>
  <c r="CE382" i="1"/>
  <c r="CD382" i="1"/>
  <c r="BZ382" i="1"/>
  <c r="BY382" i="1"/>
  <c r="BX382" i="1"/>
  <c r="BN382" i="1"/>
  <c r="BM382" i="1"/>
  <c r="BP382" i="1"/>
  <c r="BW382" i="1"/>
  <c r="BT382" i="1"/>
  <c r="BL382" i="1"/>
  <c r="BO382" i="1"/>
  <c r="CM382" i="1"/>
  <c r="BQ382" i="1"/>
  <c r="CC382" i="1"/>
  <c r="BV382" i="1"/>
  <c r="BR382" i="1"/>
  <c r="BK38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<sst xmlns="http://schemas.openxmlformats.org/spreadsheetml/2006/main" count="755" uniqueCount="257">
  <si>
    <t>Electric cars -&gt; RoP</t>
  </si>
  <si>
    <t>Paper dryers -&gt; MTH.130.C</t>
  </si>
  <si>
    <t>Static diesel engines -&gt; MD</t>
  </si>
  <si>
    <t>Machine tools -&gt; MacW</t>
  </si>
  <si>
    <t>HVAC -&gt; LTC.20.C</t>
  </si>
  <si>
    <t>Industrial refrigerators -&gt; LTC.-10.C</t>
  </si>
  <si>
    <t>Industrial electric lamps -&gt; L</t>
  </si>
  <si>
    <t>Industrial fans -&gt; KE</t>
  </si>
  <si>
    <t>Computers -&gt; IP</t>
  </si>
  <si>
    <t>Electro-chemical processors -&gt; HTH.960.C</t>
  </si>
  <si>
    <t>Steam cracking furnaces -&gt; HTH.850.C</t>
  </si>
  <si>
    <t>Industrial electric process heaters -&gt; HTH.600.C</t>
  </si>
  <si>
    <t>Clinker kilns -&gt; HTH.1200.C</t>
  </si>
  <si>
    <t>Electric pumps -&gt; HPL</t>
  </si>
  <si>
    <t>Air compressors -&gt; HPA</t>
  </si>
  <si>
    <t>Containing all columns in Y_f</t>
  </si>
  <si>
    <t>Y_u</t>
  </si>
  <si>
    <t>RoP [from Electric cars]</t>
  </si>
  <si>
    <t>MTH.130.C [from Paper dryers]</t>
  </si>
  <si>
    <t>MD [from Static diesel engines]</t>
  </si>
  <si>
    <t>MacW [from Material handlers]</t>
  </si>
  <si>
    <t>MacW [from Machine tools]</t>
  </si>
  <si>
    <t>LTC.20.C [from HVAC]</t>
  </si>
  <si>
    <t>LTC.-10.C [from Industrial refrigerators]</t>
  </si>
  <si>
    <t>L [from Industrial electric lamps]</t>
  </si>
  <si>
    <t>KE [from Industrial fans]</t>
  </si>
  <si>
    <t>IP [from Computers]</t>
  </si>
  <si>
    <t>HTH.960.C [from Electro-chemical processors]</t>
  </si>
  <si>
    <t>Y_u_T</t>
  </si>
  <si>
    <t>HTH.850.C [from Steam cracking furnaces]</t>
  </si>
  <si>
    <t>HTH.600.C [from Industrial electric process heaters]</t>
  </si>
  <si>
    <t>HTH.1800.C [from Blast oxygen furnaces]</t>
  </si>
  <si>
    <t>HTH.1200.C [from Clinker kilns]</t>
  </si>
  <si>
    <t>HPL [from Electric pumps]</t>
  </si>
  <si>
    <t>HPA [from Air compressors]</t>
  </si>
  <si>
    <t xml:space="preserve">                                      margin = 2, </t>
  </si>
  <si>
    <t xml:space="preserve">  matsbyname::aggregate_pieces_byname(piece = "suff", </t>
  </si>
  <si>
    <t xml:space="preserve">  matsbyname::hatize_byname() |&gt;</t>
  </si>
  <si>
    <t xml:space="preserve">  matsbyname::fractionize_byname(margin = 2) |&gt; </t>
  </si>
  <si>
    <t>Charcoal -&gt; Residential</t>
  </si>
  <si>
    <t>Residential</t>
  </si>
  <si>
    <t>Charcoal</t>
  </si>
  <si>
    <t>Industry NES</t>
  </si>
  <si>
    <t>L [from Domestic electric lamps]</t>
  </si>
  <si>
    <t>L [from Televisions]</t>
  </si>
  <si>
    <t>LTC.-10.C [from Refrigerators]</t>
  </si>
  <si>
    <t>LTH.20.C [from LPG stoves]</t>
  </si>
  <si>
    <t>LTH.20.C [from Wood stoves]</t>
  </si>
  <si>
    <t>MTH.100.C [from LPG stoves]</t>
  </si>
  <si>
    <t>MTH.100.C [from Wood stoves]</t>
  </si>
  <si>
    <t>MTH.200.C [from LPG stoves]</t>
  </si>
  <si>
    <t>MTH.200.C [from Wood stoves]</t>
  </si>
  <si>
    <t>Domestic electric lamps -&gt; L</t>
  </si>
  <si>
    <t>Televisions -&gt; L</t>
  </si>
  <si>
    <t>Refrigerators -&gt; LTC.-10.C</t>
  </si>
  <si>
    <t>LPG stoves -&gt; LTH.20.C</t>
  </si>
  <si>
    <t>Wood stoves -&gt; LTH.20.C</t>
  </si>
  <si>
    <t>Material handlers -&gt; MacW</t>
  </si>
  <si>
    <t>LPG stoves -&gt; MTH.100.C</t>
  </si>
  <si>
    <t>Wood stoves -&gt; MTH.100.C</t>
  </si>
  <si>
    <t>LPG stoves -&gt; MTH.200.C</t>
  </si>
  <si>
    <t>Wood stoves -&gt; MTH.200.C</t>
  </si>
  <si>
    <t>eta_i</t>
  </si>
  <si>
    <t>Commercial electric ovens -&gt; MTH.200.C</t>
  </si>
  <si>
    <t>Commercial indoor electric lamps -&gt; L</t>
  </si>
  <si>
    <t>Commercial outdoor electric lamps -&gt; L</t>
  </si>
  <si>
    <t>Diesel HDVs -&gt; RoP</t>
  </si>
  <si>
    <t>Diesel LDVs -&gt; RoP</t>
  </si>
  <si>
    <t>Diesel trains -&gt; RaP</t>
  </si>
  <si>
    <t>Domestic boats -&gt; MaP</t>
  </si>
  <si>
    <t>Electric cable cranes -&gt; MacW</t>
  </si>
  <si>
    <t>Electric continuous miners -&gt; MF</t>
  </si>
  <si>
    <t>Electric space heaters -&gt; LTH.20.C</t>
  </si>
  <si>
    <t>Electric water heaters -&gt; MTH.100.C</t>
  </si>
  <si>
    <t>Electrolytic smelters -&gt; HTH.960.C</t>
  </si>
  <si>
    <t>Gas space heaters -&gt; LTH.20.C</t>
  </si>
  <si>
    <t>Gas water heaters -&gt; MTH.100.C</t>
  </si>
  <si>
    <t>Gasoline LDVs -&gt; RoP</t>
  </si>
  <si>
    <t>Gasoline motorcycles -&gt; RoP</t>
  </si>
  <si>
    <t>Kerosene stoves -&gt; MTH.100.C</t>
  </si>
  <si>
    <t>Main activity producer electricity plants</t>
  </si>
  <si>
    <t>Manufacture [of Hydro]</t>
  </si>
  <si>
    <t>Manufacture [of Primary solid biofuels]</t>
  </si>
  <si>
    <t>Non-energy consumption -&gt; NEU</t>
  </si>
  <si>
    <t>Oil refineries</t>
  </si>
  <si>
    <t>Room air conditioners -&gt; LTC.20.C</t>
  </si>
  <si>
    <t>Tractors -&gt; MacW</t>
  </si>
  <si>
    <t>Blast oxygen furnaces -&gt; HTH.1800.C</t>
  </si>
  <si>
    <t>eta_fu</t>
  </si>
  <si>
    <t>eta_fu_hat_inv</t>
  </si>
  <si>
    <t>Y_u_T * eta_fu_hat_inv</t>
  </si>
  <si>
    <t>This matrix correctly gives the amount of final energy used by each machine in each final demand sector.</t>
  </si>
  <si>
    <t>The challenge is to get that final energy apportioned by final energy carrier. That task was to be done by Y_special, but it isn't working completely, yet.</t>
  </si>
  <si>
    <t>Aviation gasoline</t>
  </si>
  <si>
    <t>Crude oil</t>
  </si>
  <si>
    <t>Electricity</t>
  </si>
  <si>
    <t>Fuel oil</t>
  </si>
  <si>
    <t>Gas/diesel oil excl. biofuels</t>
  </si>
  <si>
    <t>HTH.960.C [from Electrolytic smelters]</t>
  </si>
  <si>
    <t>Hydro</t>
  </si>
  <si>
    <t>Hydro [from Resources]</t>
  </si>
  <si>
    <t>Kerosene type jet fuel excl. biofuels</t>
  </si>
  <si>
    <t>L [from Commercial indoor electric lamps]</t>
  </si>
  <si>
    <t>L [from Commercial outdoor electric lamps]</t>
  </si>
  <si>
    <t>Liquefied petroleum gases (LPG)</t>
  </si>
  <si>
    <t>LTC.20.C [from Room air conditioners]</t>
  </si>
  <si>
    <t>LTH.20.C [from Electric space heaters]</t>
  </si>
  <si>
    <t>MacW [from Electric cable cranes]</t>
  </si>
  <si>
    <t>MacW [from Tractors]</t>
  </si>
  <si>
    <t>MaP [from Domestic boats]</t>
  </si>
  <si>
    <t>MD [from Natural gas turbines]</t>
  </si>
  <si>
    <t>MF [from Electric continuous miners]</t>
  </si>
  <si>
    <t>Motor gasoline excl. biofuels</t>
  </si>
  <si>
    <t>MTH.100.C [from Electric water heaters]</t>
  </si>
  <si>
    <t>MTH.150.C [from Natural gas process heaters]</t>
  </si>
  <si>
    <t>MTH.200.C [from Commercial electric ovens]</t>
  </si>
  <si>
    <t>Other kerosene</t>
  </si>
  <si>
    <t>Primary solid biofuels</t>
  </si>
  <si>
    <t>Primary solid biofuels [from Resources]</t>
  </si>
  <si>
    <t>RaP [from Diesel trains]</t>
  </si>
  <si>
    <t>Refinery gas</t>
  </si>
  <si>
    <t>RoP [from Diesel HDVs]</t>
  </si>
  <si>
    <t>RoP [from Diesel LDVs]</t>
  </si>
  <si>
    <t>RoP [from Gasoline HDVs]</t>
  </si>
  <si>
    <t>RoP [from Gasoline LDVs]</t>
  </si>
  <si>
    <t>RoP [from Gasoline motorcycles]</t>
  </si>
  <si>
    <t>U_u</t>
  </si>
  <si>
    <t>i U_u</t>
  </si>
  <si>
    <t>U_u |&gt; fractionize(margin = 2)</t>
  </si>
  <si>
    <t>Charcoal [to Wood stoves -&gt; LTH.20.C]</t>
  </si>
  <si>
    <t>Charcoal [to Wood stoves -&gt; MTH.100.C]</t>
  </si>
  <si>
    <t>Charcoal [to Wood stoves -&gt; MTH.200.C]</t>
  </si>
  <si>
    <t>Electricity [to Air compressore -&gt; HPA]</t>
  </si>
  <si>
    <t>Electricity [to Electric pumps -&gt; HPL]</t>
  </si>
  <si>
    <t>Electricity [to Industrial electric process heaters -&gt; HTH.600.C]</t>
  </si>
  <si>
    <t>Electricity [to Electro-chemical processors -&gt; HTH.960.C]</t>
  </si>
  <si>
    <t>Electricity [to Computers -&gt; IP]</t>
  </si>
  <si>
    <t>Electricity [to Industrial fans -&gt; KE]</t>
  </si>
  <si>
    <t>Electricity [to Domestic electric lamps -&gt; L]</t>
  </si>
  <si>
    <t>Electricity [to Industrial electric lamps -&gt; L]</t>
  </si>
  <si>
    <t>Electricity [to Televisions -&gt; L]</t>
  </si>
  <si>
    <t>Electricity [to Industrial refrigerators -&gt; LTC.-10.C]</t>
  </si>
  <si>
    <t>Electricity [to Refrigerators -&gt; LTC.-10.C]</t>
  </si>
  <si>
    <t>Electricity [to HVAC -&gt; LTC.20.C]</t>
  </si>
  <si>
    <t>Electricity [to Machine tools -&gt; MacW]</t>
  </si>
  <si>
    <t>Electricity [to Material handlers -&gt; MacW]</t>
  </si>
  <si>
    <t>Electricity [to Electric cars -&gt; RoP]</t>
  </si>
  <si>
    <t>Fuel oil [to Static diesel engines -&gt; MD]</t>
  </si>
  <si>
    <t>Gas/diesel oil excl. biofuels [to Static diesel engines -&gt; MD]</t>
  </si>
  <si>
    <t>Liquefied petroleum gases (LPG) [to LPG stoves -&gt; LTH.20.C]</t>
  </si>
  <si>
    <t>Liquefied petroleum gases (LPG) [to LPG stoves -&gt; MTH.100.C]</t>
  </si>
  <si>
    <t>Liquefied petroleum gases (LPG) [to LPG stoves -&gt; MTH.200.C]</t>
  </si>
  <si>
    <t>Other kerosene [to LPG stoves -&gt; LTH.20.C]</t>
  </si>
  <si>
    <t>Other kerosene [to LPG stoves -&gt; MTH.100.C]</t>
  </si>
  <si>
    <t>Other kerosene [to LPG stoves -&gt; MTH.200.C]</t>
  </si>
  <si>
    <t>Primary solid biofuels [to Wood stoves -&gt; LTH.20.C]</t>
  </si>
  <si>
    <t>Primary solid biofuels [to Wood stoves -&gt; MTH.100.C]</t>
  </si>
  <si>
    <t>Primary solid biofuels [to Clinker kilns -&gt; HTH.1200.C]</t>
  </si>
  <si>
    <t>Primary solid biofuels [to Blast oxygen furnaces -&gt; HTH.1800.C]</t>
  </si>
  <si>
    <t>Primary solid biofuels [to Steam cracking furnaces -&gt; HTH.850.C]</t>
  </si>
  <si>
    <t>Primary solid biofuels [to Paper dryers -&gt; MTH.130.C]</t>
  </si>
  <si>
    <t>Primary solid biofuels [to Wood stoves -&gt; MTH.200.C]</t>
  </si>
  <si>
    <t>Hatize</t>
  </si>
  <si>
    <t>Aggregate columns to suffix in "to" notation</t>
  </si>
  <si>
    <t>U_u_special</t>
  </si>
  <si>
    <t>transpose(Y_u_T * eta_fu_hat_inv)</t>
  </si>
  <si>
    <t>U_u_special * transpose(Y_u_T * eta_fu_hat_inv)</t>
  </si>
  <si>
    <t>Charcoal [to Wood stoves -&gt; LTH.20.C] ___ Residential</t>
  </si>
  <si>
    <t>Charcoal [to Wood stoves -&gt; MTH.100.C] ___ Residential</t>
  </si>
  <si>
    <t>Charcoal [to Wood stoves -&gt; MTH.200.C] ___ Residential</t>
  </si>
  <si>
    <t>Electricity [to Air compressore -&gt; HPA] ___ Industry NES</t>
  </si>
  <si>
    <t>Electricity [to Electric pumps -&gt; HPL] ___ Industry NES</t>
  </si>
  <si>
    <t>Electricity [to Industrial electric process heaters -&gt; HTH.600.C] ___ Industry NES</t>
  </si>
  <si>
    <t>Electricity [to Electro-chemical processors -&gt; HTH.960.C] ___ Industry NES</t>
  </si>
  <si>
    <t>Electricity [to Industrial fans -&gt; KE] ___ Industry NES</t>
  </si>
  <si>
    <t>Electricity [to Computers -&gt; IP] ___ Industry NES</t>
  </si>
  <si>
    <t>Electricity [to Computers -&gt; IP] ___ Residential</t>
  </si>
  <si>
    <t>Electricity [to Domestic electric lamps -&gt; L] ___ Residential</t>
  </si>
  <si>
    <t>Electricity [to Industrial electric lamps -&gt; L] ___ Industry NES</t>
  </si>
  <si>
    <t>Electricity [to Televisions -&gt; L] ___ Residential</t>
  </si>
  <si>
    <t>Electricity [to Industrial refrigerators -&gt; LTC.-10.C] ___ Industry NES</t>
  </si>
  <si>
    <t>Electricity [to Refrigerators -&gt; LTC.-10.C] ___ Residential</t>
  </si>
  <si>
    <t>Electricity [to HVAC -&gt; LTC.20.C] ___ Industry NES</t>
  </si>
  <si>
    <t>Electricity [to Machine tools -&gt; MacW] ___ Industry NES</t>
  </si>
  <si>
    <t>Electricity [to Material handlers -&gt; MacW] ___ Industry NES</t>
  </si>
  <si>
    <t>Electricity [to Electric cars -&gt; RoP] ___ Industry NES</t>
  </si>
  <si>
    <t>Fuel oil [to Static diesel engines -&gt; MD] ___ Industry NES</t>
  </si>
  <si>
    <t>Gas/diesel oil excl. biofuels [to Static diesel engines -&gt; MD] ___ Industry NES</t>
  </si>
  <si>
    <t>Liquefied petroleum gases (LPG) [to LPG stoves -&gt; MTH.100.C] ___ Residential</t>
  </si>
  <si>
    <t>Other kerosene [to LPG stoves -&gt; MTH.100.C] ___ Residential</t>
  </si>
  <si>
    <t>Primary solid biofuels [to Wood stoves -&gt; LTH.20.C] ___ Residential</t>
  </si>
  <si>
    <t>Primary solid biofuels [to Wood stoves -&gt; MTH.100.C] ___ Residential</t>
  </si>
  <si>
    <t>Primary solid biofuels [to Wood stoves -&gt; MTH.200.C] ___ Residential</t>
  </si>
  <si>
    <t>vectorize</t>
  </si>
  <si>
    <t>Charcoal -&gt; Residential ___ Wood stoves -&gt; LTH.20.C</t>
  </si>
  <si>
    <t>Charcoal -&gt; Residential ___ Wood stoves -&gt; MTH.100.C</t>
  </si>
  <si>
    <t>Charcoal -&gt; Residential ___ Wood stoves -&gt; MTH.200.C</t>
  </si>
  <si>
    <t>Electricity -&gt; Industry NES ___ Electric pumps -&gt; HPL</t>
  </si>
  <si>
    <t>Electricity -&gt; Industry NES ___ Industrial electric process heaters -&gt; HTH.600.C</t>
  </si>
  <si>
    <t>Electricity -&gt; Industry NES ___ Electro-chemical processors -&gt; HTH.960.C</t>
  </si>
  <si>
    <t>Electricity -&gt; Industry NES ___ Computers -&gt; IP</t>
  </si>
  <si>
    <t>Electricity -&gt; Residential ___ Computers -&gt; IP</t>
  </si>
  <si>
    <t>Electricity -&gt; Industry NES ___ Industrial fans -&gt; KE</t>
  </si>
  <si>
    <t>Electricity -&gt; Residential ___ Domestic electric lamps -&gt; L</t>
  </si>
  <si>
    <t>Electricity -&gt; Industry NES ___ Industrial electric lamps -&gt; L</t>
  </si>
  <si>
    <t>Electricity -&gt; Residential ___ Televisions -&gt; L</t>
  </si>
  <si>
    <t>Electricity -&gt; Industry NES ___ Industrial refrigerators -&gt; LTC.-10.C</t>
  </si>
  <si>
    <t>Electricity -&gt; Residential ___ Refrigerators -&gt; LTC.-10.C</t>
  </si>
  <si>
    <t>Electricity -&gt; Industry NES ___ HVAC -&gt; LTC.20.C</t>
  </si>
  <si>
    <t>Electricity -&gt; Industry NES ___ Machine tools -&gt; MacW</t>
  </si>
  <si>
    <t>Electricity -&gt; Industry NES ___ Material handlers -&gt; MacW</t>
  </si>
  <si>
    <t>Electricity -&gt; Industry NES ___ Electric cars -&gt; RoP</t>
  </si>
  <si>
    <t>Fuel oil -&gt; Industry NES ___ Static diesel engines -&gt; MD</t>
  </si>
  <si>
    <t>Gas/diesel oil excl. biofuels -&gt; Industry NES ___ Static diesel engines -&gt; MD</t>
  </si>
  <si>
    <t>Liquefied petroleum gases (LPG) -&gt; Residential ___ LPG stoves -&gt; MTH.100.C</t>
  </si>
  <si>
    <t>Other kerosene -&gt; Residential ___ LPG stoves -&gt; MTH.100.C</t>
  </si>
  <si>
    <t>Primary solid biofuels -&gt; Residential ___ Wood stoves -&gt; LTH.20.C</t>
  </si>
  <si>
    <t>Primary solid biofuels -&gt; Residential ___ Wood stoves -&gt; MTH.100.C</t>
  </si>
  <si>
    <t>Primary solid biofuels -&gt; Residential ___ Wood stoves -&gt; MTH.200.C</t>
  </si>
  <si>
    <t>Change row names</t>
  </si>
  <si>
    <t>Electricity -&gt; Industry NES ___ Air compressors -&gt; HPA</t>
  </si>
  <si>
    <t>Electricity -&gt; Industry NES</t>
  </si>
  <si>
    <t>Electricity -&gt; Residential</t>
  </si>
  <si>
    <t>matricize on special notation ___</t>
  </si>
  <si>
    <t>Fuel oil -&gt; Industry NES</t>
  </si>
  <si>
    <t>Gas/diesel oil excl. biofuels -&gt; Industry NES</t>
  </si>
  <si>
    <t>Liquefied petroleum gases (LPG) -&gt; Residential</t>
  </si>
  <si>
    <t>Other kerosene -&gt; Residential</t>
  </si>
  <si>
    <t>Primary solid biofuels -&gt; Residential</t>
  </si>
  <si>
    <t>C_Y_calc</t>
  </si>
  <si>
    <t>C_Y_calc i</t>
  </si>
  <si>
    <t xml:space="preserve">U_u |&gt; </t>
  </si>
  <si>
    <t>Vectorize (with "to" notation)</t>
  </si>
  <si>
    <t xml:space="preserve">                                      notation = RCLabels::to_notation)</t>
  </si>
  <si>
    <t xml:space="preserve">  matsbyname::vectorize_byname(notation = RCLabels::tp_notation) |&gt;</t>
  </si>
  <si>
    <t>Liquefied petroleum gases (LPG) [to LPG stoves -&gt; LTH.20.C] ___ Residential</t>
  </si>
  <si>
    <t>Liquefied petroleum gases (LPG) [to LPG stoves -&gt; MTH.200.C] ___ Residential</t>
  </si>
  <si>
    <t>Other kerosene [to LPG stoves -&gt; LTH.20.C] ___ Residential</t>
  </si>
  <si>
    <t>Other kerosene [to LPG stoves -&gt; MTH.200.C] ___ Residential</t>
  </si>
  <si>
    <t>Primary solid biofuels [to Clinker kilns -&gt; HTH.1200.C] ___ Industry NES</t>
  </si>
  <si>
    <t>Primary solid biofuels [to Blast oxygen furnaces -&gt; HTH.1800.C] ___ Industry NES</t>
  </si>
  <si>
    <t>Primary solid biofuels [to Steam cracking furnaces -&gt; HTH.850.C] ___ Industry NES</t>
  </si>
  <si>
    <t>Primary solid biofuels [to Paper dryers -&gt; MTH.130.C] ___ Industry NES</t>
  </si>
  <si>
    <t>Liquefied petroleum gases (LPG) -&gt; Residential ___ LPG stoves -&gt; LTH.20.C</t>
  </si>
  <si>
    <t>Liquefied petroleum gases (LPG) -&gt; Residential ___ LPG stoves -&gt; MTH.200.C</t>
  </si>
  <si>
    <t>Other kerosene -&gt; Residential ___ LPG stoves -&gt; LTH.20.C</t>
  </si>
  <si>
    <t>Other kerosene -&gt; Residential ___ LPG stoves -&gt; MTH.200.C</t>
  </si>
  <si>
    <t>Primary solid biofuels -&gt; Industry NES ___ Clinker kilns -&gt; HTH.1200.C</t>
  </si>
  <si>
    <t>Primary solid biofuels -&gt; Industry NES ___ Blast oxygen furnaces -&gt; HTH.1800.C</t>
  </si>
  <si>
    <t>Primary solid biofuels -&gt; Industry NES ___ Steam cracking furnaces -&gt; HTH.850.C</t>
  </si>
  <si>
    <t>Primary solid biofuels -&gt; Industry NES ___ Paper dryers -&gt; MTH.130.C</t>
  </si>
  <si>
    <t>Primary solid biofuels -&gt; Industry NES</t>
  </si>
  <si>
    <t>Fractionize by rows</t>
  </si>
  <si>
    <t>For World and other aggregates, I will need to calculate etai from the U and V matrices</t>
  </si>
  <si>
    <t>Change notation</t>
  </si>
  <si>
    <t>U_u_special gives the fraction of each type of final energy going into each machine.</t>
  </si>
  <si>
    <t>Columns sum to 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</si>
</sst>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rgb="FF000000"/>
      <name val="Aptos Narrow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3712D"/>
      </patternFill>
    </fill>
    <fill>
      <patternFill patternType="solid">
        <fgColor rgb="FFFDF2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textRotation="90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/>
    <xf numFmtId="0" fontId="0" fillId="0" borderId="0" xfId="0" quotePrefix="1"/>
    <xf numFmtId="0" fontId="0" fillId="0" borderId="0" xfId="0" applyFill="1"/>
    <xf numFmtId="0" fontId="0" fillId="0" borderId="0" xfId="0" applyFill="1" applyAlignment="1">
      <alignment horizontal="center" textRotation="90"/>
    </xf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38100</xdr:colOff>
      <xdr:row>8</xdr:row>
      <xdr:rowOff>12700</xdr:rowOff>
    </xdr:from>
    <xdr:to>
      <xdr:col>33</xdr:col>
      <xdr:colOff>0</xdr:colOff>
      <xdr:row>8</xdr:row>
      <xdr:rowOff>12700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101340EC-74E4-614A-8D28-BBDE852FAAE7}"/>
            </a:ext>
          </a:extLst>
        </xdr:cNvPr>
        <xdr:cNvCxnSpPr/>
      </xdr:nvCxnSpPr>
      <xdr:spPr>
        <a:xfrm>
          <a:off x="28143200" y="15100300"/>
          <a:ext cx="16129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292100</xdr:colOff>
      <xdr:row>8</xdr:row>
      <xdr:rowOff>25400</xdr:rowOff>
    </xdr:from>
    <xdr:to>
      <xdr:col>61</xdr:col>
      <xdr:colOff>2489200</xdr:colOff>
      <xdr:row>8</xdr:row>
      <xdr:rowOff>25400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FFB33F8-CDBD-6340-9DC3-BEA2F81D0DB7}"/>
            </a:ext>
          </a:extLst>
        </xdr:cNvPr>
        <xdr:cNvCxnSpPr/>
      </xdr:nvCxnSpPr>
      <xdr:spPr>
        <a:xfrm>
          <a:off x="53098700" y="15138400"/>
          <a:ext cx="30353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12700</xdr:rowOff>
    </xdr:from>
    <xdr:to>
      <xdr:col>4</xdr:col>
      <xdr:colOff>0</xdr:colOff>
      <xdr:row>8</xdr:row>
      <xdr:rowOff>12700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6FAF3F11-773A-2DF3-C07A-6C7C5B97F452}"/>
            </a:ext>
          </a:extLst>
        </xdr:cNvPr>
        <xdr:cNvCxnSpPr/>
      </xdr:nvCxnSpPr>
      <xdr:spPr>
        <a:xfrm>
          <a:off x="4991100" y="15100300"/>
          <a:ext cx="8255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262758</xdr:colOff>
      <xdr:row>9</xdr:row>
      <xdr:rowOff>58391</xdr:rowOff>
    </xdr:from>
    <xdr:to>
      <xdr:col>67</xdr:col>
      <xdr:colOff>175172</xdr:colOff>
      <xdr:row>208</xdr:row>
      <xdr:rowOff>102184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5874E804-C3FC-6D42-B4EE-601FCFCF1AA6}"/>
            </a:ext>
          </a:extLst>
        </xdr:cNvPr>
        <xdr:cNvCxnSpPr/>
      </xdr:nvCxnSpPr>
      <xdr:spPr>
        <a:xfrm flipH="1">
          <a:off x="45413448" y="16159655"/>
          <a:ext cx="15838506" cy="18261724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613103</xdr:colOff>
      <xdr:row>165</xdr:row>
      <xdr:rowOff>160575</xdr:rowOff>
    </xdr:from>
    <xdr:to>
      <xdr:col>4</xdr:col>
      <xdr:colOff>277357</xdr:colOff>
      <xdr:row>169</xdr:row>
      <xdr:rowOff>116782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50263D32-B497-A042-8AC2-01326093E668}"/>
            </a:ext>
          </a:extLst>
        </xdr:cNvPr>
        <xdr:cNvCxnSpPr/>
      </xdr:nvCxnSpPr>
      <xdr:spPr>
        <a:xfrm flipH="1">
          <a:off x="3955977" y="21808966"/>
          <a:ext cx="2160460" cy="773678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350344</xdr:colOff>
      <xdr:row>202</xdr:row>
      <xdr:rowOff>116782</xdr:rowOff>
    </xdr:from>
    <xdr:to>
      <xdr:col>8</xdr:col>
      <xdr:colOff>277357</xdr:colOff>
      <xdr:row>205</xdr:row>
      <xdr:rowOff>656897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78A309E8-041F-369F-0252-7A1385215907}"/>
            </a:ext>
          </a:extLst>
        </xdr:cNvPr>
        <xdr:cNvCxnSpPr/>
      </xdr:nvCxnSpPr>
      <xdr:spPr>
        <a:xfrm>
          <a:off x="4525287" y="29326782"/>
          <a:ext cx="4919426" cy="1153218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240</xdr:row>
      <xdr:rowOff>0</xdr:rowOff>
    </xdr:from>
    <xdr:to>
      <xdr:col>5</xdr:col>
      <xdr:colOff>29196</xdr:colOff>
      <xdr:row>242</xdr:row>
      <xdr:rowOff>1080230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2C7C8DBB-0968-C847-BB3B-90332E074AA9}"/>
            </a:ext>
          </a:extLst>
        </xdr:cNvPr>
        <xdr:cNvCxnSpPr/>
      </xdr:nvCxnSpPr>
      <xdr:spPr>
        <a:xfrm>
          <a:off x="6671149" y="40858966"/>
          <a:ext cx="29196" cy="1488965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423333</xdr:colOff>
      <xdr:row>234</xdr:row>
      <xdr:rowOff>72988</xdr:rowOff>
    </xdr:from>
    <xdr:to>
      <xdr:col>53</xdr:col>
      <xdr:colOff>233563</xdr:colOff>
      <xdr:row>242</xdr:row>
      <xdr:rowOff>2394023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3FFF82DB-015A-B0B7-8E8A-3F6C40C3E240}"/>
            </a:ext>
          </a:extLst>
        </xdr:cNvPr>
        <xdr:cNvCxnSpPr/>
      </xdr:nvCxnSpPr>
      <xdr:spPr>
        <a:xfrm>
          <a:off x="44741954" y="39705747"/>
          <a:ext cx="2306437" cy="3955977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189771</xdr:colOff>
      <xdr:row>264</xdr:row>
      <xdr:rowOff>29195</xdr:rowOff>
    </xdr:from>
    <xdr:to>
      <xdr:col>49</xdr:col>
      <xdr:colOff>291954</xdr:colOff>
      <xdr:row>265</xdr:row>
      <xdr:rowOff>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333CE61-4BB7-6D92-94F6-5CDF75658846}"/>
            </a:ext>
          </a:extLst>
        </xdr:cNvPr>
        <xdr:cNvCxnSpPr/>
      </xdr:nvCxnSpPr>
      <xdr:spPr>
        <a:xfrm>
          <a:off x="26202874" y="48683333"/>
          <a:ext cx="17575632" cy="175173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510920</xdr:colOff>
      <xdr:row>10</xdr:row>
      <xdr:rowOff>189770</xdr:rowOff>
    </xdr:from>
    <xdr:to>
      <xdr:col>61</xdr:col>
      <xdr:colOff>2583793</xdr:colOff>
      <xdr:row>47</xdr:row>
      <xdr:rowOff>87586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22AF2755-7623-936D-AE88-ADC7F582737D}"/>
            </a:ext>
          </a:extLst>
        </xdr:cNvPr>
        <xdr:cNvCxnSpPr/>
      </xdr:nvCxnSpPr>
      <xdr:spPr>
        <a:xfrm flipV="1">
          <a:off x="34012644" y="16495402"/>
          <a:ext cx="22042528" cy="1034977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609600</xdr:colOff>
      <xdr:row>277</xdr:row>
      <xdr:rowOff>174588</xdr:rowOff>
    </xdr:from>
    <xdr:to>
      <xdr:col>55</xdr:col>
      <xdr:colOff>98213</xdr:colOff>
      <xdr:row>281</xdr:row>
      <xdr:rowOff>132080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8106FF03-801A-DD04-181C-3B7D76ED87DF}"/>
            </a:ext>
          </a:extLst>
        </xdr:cNvPr>
        <xdr:cNvCxnSpPr/>
      </xdr:nvCxnSpPr>
      <xdr:spPr>
        <a:xfrm flipH="1">
          <a:off x="47792640" y="86168828"/>
          <a:ext cx="311573" cy="770292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467360</xdr:colOff>
      <xdr:row>316</xdr:row>
      <xdr:rowOff>101600</xdr:rowOff>
    </xdr:from>
    <xdr:to>
      <xdr:col>54</xdr:col>
      <xdr:colOff>467360</xdr:colOff>
      <xdr:row>319</xdr:row>
      <xdr:rowOff>111760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AC90A3F-A342-5E48-B965-E7FC5C42977C}"/>
            </a:ext>
          </a:extLst>
        </xdr:cNvPr>
        <xdr:cNvCxnSpPr/>
      </xdr:nvCxnSpPr>
      <xdr:spPr>
        <a:xfrm>
          <a:off x="47650400" y="92395040"/>
          <a:ext cx="0" cy="61976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179294</xdr:colOff>
      <xdr:row>355</xdr:row>
      <xdr:rowOff>89647</xdr:rowOff>
    </xdr:from>
    <xdr:to>
      <xdr:col>61</xdr:col>
      <xdr:colOff>448235</xdr:colOff>
      <xdr:row>356</xdr:row>
      <xdr:rowOff>2958353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515210FC-9146-B8D5-2D2E-AED03ADFBEF4}"/>
            </a:ext>
          </a:extLst>
        </xdr:cNvPr>
        <xdr:cNvCxnSpPr/>
      </xdr:nvCxnSpPr>
      <xdr:spPr>
        <a:xfrm>
          <a:off x="48947294" y="104199765"/>
          <a:ext cx="4377765" cy="3077882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806824</xdr:colOff>
      <xdr:row>368</xdr:row>
      <xdr:rowOff>134470</xdr:rowOff>
    </xdr:from>
    <xdr:to>
      <xdr:col>76</xdr:col>
      <xdr:colOff>14941</xdr:colOff>
      <xdr:row>374</xdr:row>
      <xdr:rowOff>1210235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CED124E7-167B-E6BB-9A56-BE61D059E60D}"/>
            </a:ext>
          </a:extLst>
        </xdr:cNvPr>
        <xdr:cNvCxnSpPr/>
      </xdr:nvCxnSpPr>
      <xdr:spPr>
        <a:xfrm flipH="1">
          <a:off x="67803059" y="109847529"/>
          <a:ext cx="29882" cy="2330824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24EF-6A5B-4441-8B12-A4B1463CFAF8}">
  <dimension ref="A2:DO385"/>
  <sheetViews>
    <sheetView tabSelected="1" topLeftCell="A213" zoomScale="85" zoomScaleNormal="85" workbookViewId="0">
      <selection activeCell="J282" sqref="J282"/>
    </sheetView>
  </sheetViews>
  <sheetFormatPr baseColWidth="10" defaultRowHeight="16" x14ac:dyDescent="0.2"/>
  <cols>
    <col min="1" max="1" width="43.83203125" bestFit="1" customWidth="1"/>
    <col min="6" max="20" width="10.83203125" customWidth="1"/>
    <col min="21" max="21" width="13.6640625" customWidth="1"/>
    <col min="22" max="61" width="10.83203125" customWidth="1"/>
    <col min="62" max="62" width="45.1640625" bestFit="1" customWidth="1"/>
    <col min="91" max="91" width="39.1640625" bestFit="1" customWidth="1"/>
  </cols>
  <sheetData>
    <row r="2" spans="1:119" x14ac:dyDescent="0.2">
      <c r="F2" s="4"/>
      <c r="G2" s="4"/>
      <c r="H2" s="4"/>
      <c r="I2" s="4"/>
      <c r="J2" s="4"/>
      <c r="K2" s="4"/>
    </row>
    <row r="3" spans="1:119" x14ac:dyDescent="0.2">
      <c r="A3" s="3"/>
      <c r="E3" s="3"/>
      <c r="F3" s="1"/>
      <c r="G3" s="1"/>
      <c r="H3" s="1"/>
      <c r="I3" s="1"/>
      <c r="J3" s="1"/>
      <c r="K3" s="1"/>
    </row>
    <row r="4" spans="1:119" x14ac:dyDescent="0.2">
      <c r="B4" s="7"/>
      <c r="E4" s="3"/>
      <c r="F4" s="1"/>
      <c r="G4" s="1"/>
      <c r="H4" s="1"/>
      <c r="I4" s="1"/>
      <c r="J4" s="1"/>
      <c r="K4" s="1"/>
    </row>
    <row r="5" spans="1:119" x14ac:dyDescent="0.2">
      <c r="A5" s="3"/>
    </row>
    <row r="6" spans="1:119" x14ac:dyDescent="0.2">
      <c r="A6" s="3"/>
    </row>
    <row r="7" spans="1:119" ht="263" x14ac:dyDescent="0.2">
      <c r="B7" s="4" t="s">
        <v>42</v>
      </c>
      <c r="C7" s="4" t="s">
        <v>40</v>
      </c>
      <c r="D7" s="4"/>
      <c r="F7" s="4" t="s">
        <v>34</v>
      </c>
      <c r="G7" s="4" t="s">
        <v>33</v>
      </c>
      <c r="H7" s="4" t="s">
        <v>32</v>
      </c>
      <c r="I7" s="4" t="s">
        <v>31</v>
      </c>
      <c r="J7" s="4" t="s">
        <v>30</v>
      </c>
      <c r="K7" s="4" t="s">
        <v>29</v>
      </c>
      <c r="L7" s="4" t="s">
        <v>27</v>
      </c>
      <c r="M7" s="4" t="s">
        <v>26</v>
      </c>
      <c r="N7" s="4" t="s">
        <v>25</v>
      </c>
      <c r="O7" s="4" t="s">
        <v>43</v>
      </c>
      <c r="P7" s="4" t="s">
        <v>24</v>
      </c>
      <c r="Q7" s="4" t="s">
        <v>44</v>
      </c>
      <c r="R7" s="4" t="s">
        <v>23</v>
      </c>
      <c r="S7" s="4" t="s">
        <v>45</v>
      </c>
      <c r="T7" s="4" t="s">
        <v>22</v>
      </c>
      <c r="U7" s="4" t="s">
        <v>46</v>
      </c>
      <c r="V7" s="4" t="s">
        <v>47</v>
      </c>
      <c r="W7" s="4" t="s">
        <v>21</v>
      </c>
      <c r="X7" s="4" t="s">
        <v>20</v>
      </c>
      <c r="Y7" s="4" t="s">
        <v>19</v>
      </c>
      <c r="Z7" s="4" t="s">
        <v>48</v>
      </c>
      <c r="AA7" s="4" t="s">
        <v>49</v>
      </c>
      <c r="AB7" s="4" t="s">
        <v>18</v>
      </c>
      <c r="AC7" s="4" t="s">
        <v>50</v>
      </c>
      <c r="AD7" s="4" t="s">
        <v>51</v>
      </c>
      <c r="AE7" s="4" t="s">
        <v>17</v>
      </c>
      <c r="AI7" s="4" t="s">
        <v>14</v>
      </c>
      <c r="AJ7" s="4" t="s">
        <v>13</v>
      </c>
      <c r="AK7" s="4" t="s">
        <v>12</v>
      </c>
      <c r="AL7" s="4" t="s">
        <v>87</v>
      </c>
      <c r="AM7" s="4" t="s">
        <v>11</v>
      </c>
      <c r="AN7" s="4" t="s">
        <v>10</v>
      </c>
      <c r="AO7" s="4" t="s">
        <v>9</v>
      </c>
      <c r="AP7" s="4" t="s">
        <v>8</v>
      </c>
      <c r="AQ7" s="4" t="s">
        <v>7</v>
      </c>
      <c r="AR7" s="4" t="s">
        <v>52</v>
      </c>
      <c r="AS7" s="4" t="s">
        <v>6</v>
      </c>
      <c r="AT7" s="4" t="s">
        <v>53</v>
      </c>
      <c r="AU7" s="4" t="s">
        <v>5</v>
      </c>
      <c r="AV7" s="4" t="s">
        <v>54</v>
      </c>
      <c r="AW7" s="4" t="s">
        <v>4</v>
      </c>
      <c r="AX7" s="4" t="s">
        <v>55</v>
      </c>
      <c r="AY7" s="4" t="s">
        <v>56</v>
      </c>
      <c r="AZ7" s="4" t="s">
        <v>3</v>
      </c>
      <c r="BA7" s="4" t="s">
        <v>57</v>
      </c>
      <c r="BB7" s="4" t="s">
        <v>2</v>
      </c>
      <c r="BC7" s="4" t="s">
        <v>58</v>
      </c>
      <c r="BD7" s="4" t="s">
        <v>59</v>
      </c>
      <c r="BE7" s="4" t="s">
        <v>1</v>
      </c>
      <c r="BF7" s="4" t="s">
        <v>60</v>
      </c>
      <c r="BG7" s="4" t="s">
        <v>61</v>
      </c>
      <c r="BH7" s="4" t="s">
        <v>0</v>
      </c>
      <c r="BK7" s="4" t="s">
        <v>14</v>
      </c>
      <c r="BL7" s="4" t="s">
        <v>13</v>
      </c>
      <c r="BM7" s="4" t="s">
        <v>12</v>
      </c>
      <c r="BN7" s="4" t="s">
        <v>87</v>
      </c>
      <c r="BO7" s="4" t="s">
        <v>11</v>
      </c>
      <c r="BP7" s="4" t="s">
        <v>10</v>
      </c>
      <c r="BQ7" s="4" t="s">
        <v>9</v>
      </c>
      <c r="BR7" s="4" t="s">
        <v>8</v>
      </c>
      <c r="BS7" s="4" t="s">
        <v>7</v>
      </c>
      <c r="BT7" s="4" t="s">
        <v>52</v>
      </c>
      <c r="BU7" s="4" t="s">
        <v>6</v>
      </c>
      <c r="BV7" s="4" t="s">
        <v>53</v>
      </c>
      <c r="BW7" s="4" t="s">
        <v>5</v>
      </c>
      <c r="BX7" s="4" t="s">
        <v>54</v>
      </c>
      <c r="BY7" s="4" t="s">
        <v>4</v>
      </c>
      <c r="BZ7" s="4" t="s">
        <v>55</v>
      </c>
      <c r="CA7" s="4" t="s">
        <v>56</v>
      </c>
      <c r="CB7" s="4" t="s">
        <v>3</v>
      </c>
      <c r="CC7" s="4" t="s">
        <v>57</v>
      </c>
      <c r="CD7" s="4" t="s">
        <v>2</v>
      </c>
      <c r="CE7" s="4" t="s">
        <v>58</v>
      </c>
      <c r="CF7" s="4" t="s">
        <v>59</v>
      </c>
      <c r="CG7" s="4" t="s">
        <v>1</v>
      </c>
      <c r="CH7" s="4" t="s">
        <v>60</v>
      </c>
      <c r="CI7" s="4" t="s">
        <v>61</v>
      </c>
      <c r="CJ7" s="4" t="s">
        <v>0</v>
      </c>
      <c r="CN7" s="16"/>
      <c r="CO7" s="16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</row>
    <row r="8" spans="1:119" x14ac:dyDescent="0.2">
      <c r="A8" s="3" t="s">
        <v>34</v>
      </c>
      <c r="B8" s="8">
        <v>45.420974487803001</v>
      </c>
      <c r="C8" s="8">
        <v>0</v>
      </c>
      <c r="D8" s="1"/>
      <c r="E8" s="3" t="s">
        <v>42</v>
      </c>
      <c r="F8" s="2" cm="1">
        <f t="array" ref="F8:AE9">TRANSPOSE(B8:C33)</f>
        <v>45.420974487803001</v>
      </c>
      <c r="G8" s="2">
        <v>10.56548974729</v>
      </c>
      <c r="H8" s="2">
        <v>239.42002754622999</v>
      </c>
      <c r="I8" s="2">
        <v>320.41223929520999</v>
      </c>
      <c r="J8" s="2">
        <v>13.894729834892001</v>
      </c>
      <c r="K8" s="2">
        <v>134.58699587643</v>
      </c>
      <c r="L8" s="2">
        <v>4.8328734732758001</v>
      </c>
      <c r="M8" s="2">
        <v>2.4537243968652998E-2</v>
      </c>
      <c r="N8" s="2">
        <v>66.682419111564002</v>
      </c>
      <c r="O8" s="2">
        <v>0</v>
      </c>
      <c r="P8" s="2">
        <v>20.72619293088</v>
      </c>
      <c r="Q8" s="2">
        <v>0</v>
      </c>
      <c r="R8" s="2">
        <v>11.722790773811001</v>
      </c>
      <c r="S8" s="2">
        <v>0</v>
      </c>
      <c r="T8" s="2">
        <v>351.12025842441</v>
      </c>
      <c r="U8" s="2">
        <v>0</v>
      </c>
      <c r="V8" s="2">
        <v>0</v>
      </c>
      <c r="W8" s="2">
        <v>10.981003594759001</v>
      </c>
      <c r="X8" s="2">
        <v>4.7239291045123002</v>
      </c>
      <c r="Y8" s="2">
        <v>1855.3143386280001</v>
      </c>
      <c r="Z8" s="2">
        <v>0</v>
      </c>
      <c r="AA8" s="2">
        <v>0</v>
      </c>
      <c r="AB8" s="2">
        <v>73.809561478158003</v>
      </c>
      <c r="AC8" s="2">
        <v>0</v>
      </c>
      <c r="AD8" s="2">
        <v>0</v>
      </c>
      <c r="AE8" s="2">
        <v>2.1592437759009999</v>
      </c>
      <c r="AH8" s="3" t="s">
        <v>42</v>
      </c>
      <c r="AI8" s="2">
        <f>F8</f>
        <v>45.420974487803001</v>
      </c>
      <c r="AJ8" s="2">
        <f t="shared" ref="AJ8:BH8" si="0">G8</f>
        <v>10.56548974729</v>
      </c>
      <c r="AK8" s="2">
        <f t="shared" si="0"/>
        <v>239.42002754622999</v>
      </c>
      <c r="AL8" s="2">
        <f t="shared" si="0"/>
        <v>320.41223929520999</v>
      </c>
      <c r="AM8" s="2">
        <f t="shared" si="0"/>
        <v>13.894729834892001</v>
      </c>
      <c r="AN8" s="2">
        <f t="shared" si="0"/>
        <v>134.58699587643</v>
      </c>
      <c r="AO8" s="2">
        <f t="shared" si="0"/>
        <v>4.8328734732758001</v>
      </c>
      <c r="AP8" s="2">
        <f t="shared" si="0"/>
        <v>2.4537243968652998E-2</v>
      </c>
      <c r="AQ8" s="2">
        <f t="shared" si="0"/>
        <v>66.682419111564002</v>
      </c>
      <c r="AR8" s="2">
        <f t="shared" si="0"/>
        <v>0</v>
      </c>
      <c r="AS8" s="2">
        <f t="shared" si="0"/>
        <v>20.72619293088</v>
      </c>
      <c r="AT8" s="2">
        <f t="shared" si="0"/>
        <v>0</v>
      </c>
      <c r="AU8" s="2">
        <f t="shared" si="0"/>
        <v>11.722790773811001</v>
      </c>
      <c r="AV8" s="2">
        <f t="shared" si="0"/>
        <v>0</v>
      </c>
      <c r="AW8" s="2">
        <f t="shared" si="0"/>
        <v>351.12025842441</v>
      </c>
      <c r="AX8" s="2">
        <f t="shared" si="0"/>
        <v>0</v>
      </c>
      <c r="AY8" s="2">
        <f t="shared" si="0"/>
        <v>0</v>
      </c>
      <c r="AZ8" s="2">
        <f t="shared" si="0"/>
        <v>10.981003594759001</v>
      </c>
      <c r="BA8" s="2">
        <f t="shared" si="0"/>
        <v>4.7239291045123002</v>
      </c>
      <c r="BB8" s="2">
        <f t="shared" si="0"/>
        <v>1855.3143386280001</v>
      </c>
      <c r="BC8" s="2">
        <f t="shared" si="0"/>
        <v>0</v>
      </c>
      <c r="BD8" s="2">
        <f t="shared" si="0"/>
        <v>0</v>
      </c>
      <c r="BE8" s="2">
        <f t="shared" si="0"/>
        <v>73.809561478158003</v>
      </c>
      <c r="BF8" s="2">
        <f t="shared" si="0"/>
        <v>0</v>
      </c>
      <c r="BG8" s="2">
        <f t="shared" si="0"/>
        <v>0</v>
      </c>
      <c r="BH8" s="2">
        <f t="shared" si="0"/>
        <v>2.1592437759009999</v>
      </c>
      <c r="BJ8" s="3" t="s">
        <v>42</v>
      </c>
      <c r="BK8" s="2">
        <f t="array" ref="BK8:CJ9">MMULT(AI8:BH9, L42:AK67)</f>
        <v>88.712840796490241</v>
      </c>
      <c r="BL8" s="2">
        <v>41.538696971306592</v>
      </c>
      <c r="BM8" s="2">
        <v>1524.9999939249058</v>
      </c>
      <c r="BN8" s="2">
        <v>1525.0000466202405</v>
      </c>
      <c r="BO8" s="2">
        <v>137.87847297700469</v>
      </c>
      <c r="BP8" s="2">
        <v>1524.9999617742108</v>
      </c>
      <c r="BQ8" s="2">
        <v>14.802062705285756</v>
      </c>
      <c r="BR8" s="2">
        <v>24.537243968652998</v>
      </c>
      <c r="BS8" s="2">
        <v>112.16357125293791</v>
      </c>
      <c r="BT8" s="2">
        <v>0</v>
      </c>
      <c r="BU8" s="2">
        <v>136.50604690606468</v>
      </c>
      <c r="BV8" s="2">
        <v>0</v>
      </c>
      <c r="BW8" s="2">
        <v>50.162545834576086</v>
      </c>
      <c r="BX8" s="2">
        <v>0</v>
      </c>
      <c r="BY8" s="2">
        <v>166.96607390163683</v>
      </c>
      <c r="BZ8" s="2">
        <v>0</v>
      </c>
      <c r="CA8" s="2">
        <v>0</v>
      </c>
      <c r="CB8" s="2">
        <v>135.43251310120743</v>
      </c>
      <c r="CC8" s="2">
        <v>5.6354468538754663</v>
      </c>
      <c r="CD8" s="2">
        <v>5343.8012000000008</v>
      </c>
      <c r="CE8" s="2">
        <v>0</v>
      </c>
      <c r="CF8" s="2">
        <v>0</v>
      </c>
      <c r="CG8" s="2">
        <v>1525.0000770285194</v>
      </c>
      <c r="CH8" s="2">
        <v>0</v>
      </c>
      <c r="CI8" s="2">
        <v>0</v>
      </c>
      <c r="CJ8" s="2">
        <v>3.6664847309481892</v>
      </c>
      <c r="CN8" s="16"/>
      <c r="CO8" s="18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</row>
    <row r="9" spans="1:119" x14ac:dyDescent="0.2">
      <c r="A9" s="3" t="s">
        <v>33</v>
      </c>
      <c r="B9" s="8">
        <v>10.56548974729</v>
      </c>
      <c r="C9" s="8">
        <v>0</v>
      </c>
      <c r="D9" s="1"/>
      <c r="E9" s="3" t="s">
        <v>40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2.9520080000000001E-2</v>
      </c>
      <c r="N9" s="2">
        <v>0</v>
      </c>
      <c r="O9" s="2">
        <v>8.3152801916768002</v>
      </c>
      <c r="P9" s="2">
        <v>0</v>
      </c>
      <c r="Q9" s="2">
        <v>0.23511241028546001</v>
      </c>
      <c r="R9" s="2">
        <v>0</v>
      </c>
      <c r="S9" s="2">
        <v>41.109734029244002</v>
      </c>
      <c r="T9" s="2">
        <v>0</v>
      </c>
      <c r="U9" s="2">
        <v>1213.8817703361999</v>
      </c>
      <c r="V9" s="2">
        <v>2485.8598537500002</v>
      </c>
      <c r="W9" s="2">
        <v>0</v>
      </c>
      <c r="X9" s="2">
        <v>0</v>
      </c>
      <c r="Y9" s="2">
        <v>0</v>
      </c>
      <c r="Z9" s="2">
        <v>339.73875560199002</v>
      </c>
      <c r="AA9" s="2">
        <v>2485.8598537500002</v>
      </c>
      <c r="AB9" s="2">
        <v>0</v>
      </c>
      <c r="AC9" s="2">
        <v>87.033979061799997</v>
      </c>
      <c r="AD9" s="2">
        <v>11600.6793175</v>
      </c>
      <c r="AE9" s="2">
        <v>0</v>
      </c>
      <c r="AH9" s="3" t="s">
        <v>40</v>
      </c>
      <c r="AI9" s="2">
        <f>F9</f>
        <v>0</v>
      </c>
      <c r="AJ9" s="2">
        <f t="shared" ref="AJ9" si="1">G9</f>
        <v>0</v>
      </c>
      <c r="AK9" s="2">
        <f t="shared" ref="AK9" si="2">H9</f>
        <v>0</v>
      </c>
      <c r="AL9" s="2">
        <f t="shared" ref="AL9" si="3">I9</f>
        <v>0</v>
      </c>
      <c r="AM9" s="2">
        <f t="shared" ref="AM9" si="4">J9</f>
        <v>0</v>
      </c>
      <c r="AN9" s="2">
        <f t="shared" ref="AN9" si="5">K9</f>
        <v>0</v>
      </c>
      <c r="AO9" s="2">
        <f t="shared" ref="AO9" si="6">L9</f>
        <v>0</v>
      </c>
      <c r="AP9" s="2">
        <f t="shared" ref="AP9" si="7">M9</f>
        <v>2.9520080000000001E-2</v>
      </c>
      <c r="AQ9" s="2">
        <f t="shared" ref="AQ9" si="8">N9</f>
        <v>0</v>
      </c>
      <c r="AR9" s="2">
        <f t="shared" ref="AR9" si="9">O9</f>
        <v>8.3152801916768002</v>
      </c>
      <c r="AS9" s="2">
        <f t="shared" ref="AS9" si="10">P9</f>
        <v>0</v>
      </c>
      <c r="AT9" s="2">
        <f t="shared" ref="AT9" si="11">Q9</f>
        <v>0.23511241028546001</v>
      </c>
      <c r="AU9" s="2">
        <f t="shared" ref="AU9" si="12">R9</f>
        <v>0</v>
      </c>
      <c r="AV9" s="2">
        <f t="shared" ref="AV9" si="13">S9</f>
        <v>41.109734029244002</v>
      </c>
      <c r="AW9" s="2">
        <f t="shared" ref="AW9" si="14">T9</f>
        <v>0</v>
      </c>
      <c r="AX9" s="2">
        <f t="shared" ref="AX9" si="15">U9</f>
        <v>1213.8817703361999</v>
      </c>
      <c r="AY9" s="2">
        <f t="shared" ref="AY9" si="16">V9</f>
        <v>2485.8598537500002</v>
      </c>
      <c r="AZ9" s="2">
        <f t="shared" ref="AZ9" si="17">W9</f>
        <v>0</v>
      </c>
      <c r="BA9" s="2">
        <f t="shared" ref="BA9" si="18">X9</f>
        <v>0</v>
      </c>
      <c r="BB9" s="2">
        <f t="shared" ref="BB9" si="19">Y9</f>
        <v>0</v>
      </c>
      <c r="BC9" s="2">
        <f t="shared" ref="BC9" si="20">Z9</f>
        <v>339.73875560199002</v>
      </c>
      <c r="BD9" s="2">
        <f t="shared" ref="BD9" si="21">AA9</f>
        <v>2485.8598537500002</v>
      </c>
      <c r="BE9" s="2">
        <f t="shared" ref="BE9" si="22">AB9</f>
        <v>0</v>
      </c>
      <c r="BF9" s="2">
        <f t="shared" ref="BF9" si="23">AC9</f>
        <v>87.033979061799997</v>
      </c>
      <c r="BG9" s="2">
        <f t="shared" ref="BG9" si="24">AD9</f>
        <v>11600.6793175</v>
      </c>
      <c r="BH9" s="2">
        <f t="shared" ref="BH9" si="25">AE9</f>
        <v>0</v>
      </c>
      <c r="BJ9" s="3" t="s">
        <v>40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29.52008</v>
      </c>
      <c r="BS9" s="2">
        <v>0</v>
      </c>
      <c r="BT9" s="2">
        <v>236.16064000000083</v>
      </c>
      <c r="BU9" s="2">
        <v>0</v>
      </c>
      <c r="BV9" s="2">
        <v>88.560239999999595</v>
      </c>
      <c r="BW9" s="2">
        <v>0</v>
      </c>
      <c r="BX9" s="2">
        <v>236.16063999999329</v>
      </c>
      <c r="BY9" s="2">
        <v>0</v>
      </c>
      <c r="BZ9" s="2">
        <v>2697.5150451915556</v>
      </c>
      <c r="CA9" s="2">
        <v>9943.4394150000007</v>
      </c>
      <c r="CB9" s="2">
        <v>0</v>
      </c>
      <c r="CC9" s="2">
        <v>0</v>
      </c>
      <c r="CD9" s="2">
        <v>0</v>
      </c>
      <c r="CE9" s="2">
        <v>754.97501244886678</v>
      </c>
      <c r="CF9" s="2">
        <v>9943.4394150000007</v>
      </c>
      <c r="CG9" s="2">
        <v>0</v>
      </c>
      <c r="CH9" s="2">
        <v>193.40884235955556</v>
      </c>
      <c r="CI9" s="2">
        <v>46402.717270000001</v>
      </c>
      <c r="CJ9" s="2">
        <v>0</v>
      </c>
      <c r="CN9" s="16"/>
      <c r="CO9" s="18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</row>
    <row r="10" spans="1:119" x14ac:dyDescent="0.2">
      <c r="A10" s="3" t="s">
        <v>32</v>
      </c>
      <c r="B10" s="8">
        <v>239.42002754622999</v>
      </c>
      <c r="C10" s="8">
        <v>0</v>
      </c>
      <c r="D10" s="1"/>
      <c r="E10" s="1"/>
      <c r="F10" s="11" t="s">
        <v>28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t="s">
        <v>254</v>
      </c>
      <c r="AH10" s="1"/>
      <c r="AI10" s="11" t="s">
        <v>28</v>
      </c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K10" s="11" t="s">
        <v>90</v>
      </c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N10" s="16"/>
      <c r="CO10" s="18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</row>
    <row r="11" spans="1:119" x14ac:dyDescent="0.2">
      <c r="A11" s="3" t="s">
        <v>31</v>
      </c>
      <c r="B11" s="8">
        <v>320.41223929520999</v>
      </c>
      <c r="C11" s="8">
        <v>0</v>
      </c>
      <c r="D11" s="1"/>
      <c r="E11" s="1"/>
      <c r="F11" s="1"/>
      <c r="G11" s="1"/>
      <c r="H11" s="1"/>
      <c r="I11" s="1"/>
      <c r="J11" s="1"/>
      <c r="K11" s="1"/>
      <c r="M11" s="1"/>
      <c r="N11" s="1"/>
      <c r="O11" s="1"/>
      <c r="P11" s="1"/>
      <c r="R11" s="1"/>
      <c r="S11" s="1"/>
      <c r="T11" s="1"/>
      <c r="U11" s="1"/>
      <c r="BK11" s="13" t="s">
        <v>91</v>
      </c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N11" s="16"/>
      <c r="CO11" s="18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</row>
    <row r="12" spans="1:119" x14ac:dyDescent="0.2">
      <c r="A12" s="3" t="s">
        <v>30</v>
      </c>
      <c r="B12" s="8">
        <v>13.894729834892001</v>
      </c>
      <c r="C12" s="8">
        <v>0</v>
      </c>
      <c r="D12" s="1"/>
      <c r="E12" s="1"/>
      <c r="F12" s="1"/>
      <c r="G12" s="1"/>
      <c r="H12" s="1"/>
      <c r="I12" s="1"/>
      <c r="J12" s="1"/>
      <c r="K12" s="1"/>
      <c r="M12" s="1"/>
      <c r="N12" s="1"/>
      <c r="O12" s="1"/>
      <c r="P12" s="1"/>
      <c r="R12" s="1"/>
      <c r="S12" s="1"/>
      <c r="T12" s="1"/>
      <c r="U12" s="1"/>
      <c r="BK12" s="13" t="s">
        <v>92</v>
      </c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N12" s="16"/>
      <c r="CO12" s="16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</row>
    <row r="13" spans="1:119" x14ac:dyDescent="0.2">
      <c r="A13" s="3" t="s">
        <v>29</v>
      </c>
      <c r="B13" s="8">
        <v>134.58699587643</v>
      </c>
      <c r="C13" s="8">
        <v>0</v>
      </c>
      <c r="D13" s="1"/>
      <c r="E13" s="1"/>
      <c r="F13" s="1"/>
      <c r="G13" s="1"/>
      <c r="H13" s="1"/>
      <c r="I13" s="1"/>
      <c r="J13" s="1"/>
      <c r="K13" s="1"/>
      <c r="M13" s="1"/>
      <c r="N13" s="1"/>
      <c r="O13" s="1"/>
      <c r="P13" s="1"/>
      <c r="R13" s="1"/>
      <c r="S13" s="1"/>
      <c r="T13" s="1"/>
      <c r="U13" s="1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</row>
    <row r="14" spans="1:119" x14ac:dyDescent="0.2">
      <c r="A14" s="3" t="s">
        <v>27</v>
      </c>
      <c r="B14" s="8">
        <v>4.8328734732758001</v>
      </c>
      <c r="C14" s="8">
        <v>0</v>
      </c>
      <c r="D14" s="1"/>
      <c r="E14" s="1"/>
      <c r="F14" s="1"/>
      <c r="G14" s="1"/>
      <c r="H14" s="1"/>
      <c r="I14" s="1"/>
      <c r="J14" s="1"/>
      <c r="K14" s="1"/>
      <c r="M14" s="1"/>
      <c r="N14" s="1"/>
      <c r="O14" s="1"/>
      <c r="P14" s="1"/>
      <c r="R14" s="1"/>
      <c r="S14" s="1"/>
      <c r="T14" s="1"/>
      <c r="U14" s="1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</row>
    <row r="15" spans="1:119" x14ac:dyDescent="0.2">
      <c r="A15" s="3" t="s">
        <v>26</v>
      </c>
      <c r="B15" s="8">
        <v>2.4537243968652998E-2</v>
      </c>
      <c r="C15" s="8">
        <v>2.9520080000000001E-2</v>
      </c>
      <c r="D15" s="1"/>
      <c r="E15" s="1"/>
      <c r="F15" s="1"/>
      <c r="G15" s="1"/>
      <c r="H15" s="1"/>
      <c r="I15" s="1"/>
      <c r="J15" s="1"/>
      <c r="K15" s="1"/>
      <c r="M15" s="1"/>
      <c r="N15" s="1"/>
      <c r="O15" s="1"/>
      <c r="P15" s="1"/>
      <c r="R15" s="1"/>
      <c r="S15" s="1"/>
      <c r="T15" s="1"/>
      <c r="U15" s="1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</row>
    <row r="16" spans="1:119" x14ac:dyDescent="0.2">
      <c r="A16" s="3" t="s">
        <v>25</v>
      </c>
      <c r="B16" s="8">
        <v>66.682419111564002</v>
      </c>
      <c r="C16" s="8">
        <v>0</v>
      </c>
      <c r="D16" s="1"/>
      <c r="E16" s="1"/>
      <c r="F16" s="1"/>
      <c r="G16" s="1"/>
      <c r="H16" s="1"/>
      <c r="I16" s="1"/>
      <c r="J16" s="1"/>
      <c r="K16" s="1"/>
      <c r="M16" s="1"/>
      <c r="N16" s="1"/>
      <c r="O16" s="1"/>
      <c r="P16" s="1"/>
      <c r="R16" s="1"/>
      <c r="S16" s="1"/>
      <c r="T16" s="1"/>
      <c r="U16" s="1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</row>
    <row r="17" spans="1:119" x14ac:dyDescent="0.2">
      <c r="A17" s="3" t="s">
        <v>43</v>
      </c>
      <c r="B17" s="8">
        <v>0</v>
      </c>
      <c r="C17" s="8">
        <v>8.3152801916768002</v>
      </c>
      <c r="D17" s="1"/>
      <c r="E17" s="1"/>
      <c r="F17" s="1"/>
      <c r="G17" s="1"/>
      <c r="H17" s="1"/>
      <c r="I17" s="1"/>
      <c r="J17" s="1"/>
      <c r="K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</row>
    <row r="18" spans="1:119" x14ac:dyDescent="0.2">
      <c r="A18" s="3" t="s">
        <v>24</v>
      </c>
      <c r="B18" s="8">
        <v>20.72619293088</v>
      </c>
      <c r="C18" s="8">
        <v>0</v>
      </c>
      <c r="D18" s="1"/>
      <c r="E18" s="1"/>
      <c r="F18" s="1"/>
      <c r="G18" s="1"/>
      <c r="H18" s="1"/>
      <c r="I18" s="1"/>
      <c r="J18" s="1"/>
      <c r="K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</row>
    <row r="19" spans="1:119" x14ac:dyDescent="0.2">
      <c r="A19" s="3" t="s">
        <v>44</v>
      </c>
      <c r="B19" s="8">
        <v>0</v>
      </c>
      <c r="C19" s="8">
        <v>0.23511241028546001</v>
      </c>
      <c r="D19" s="1"/>
      <c r="E19" s="1"/>
      <c r="F19" s="1"/>
      <c r="G19" s="1"/>
      <c r="H19" s="1"/>
      <c r="I19" s="1"/>
      <c r="J19" s="1"/>
      <c r="K19" s="1"/>
      <c r="M19" s="1"/>
      <c r="N19" s="1"/>
      <c r="O19" s="1"/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BR19" s="4"/>
      <c r="BS19" s="4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</row>
    <row r="20" spans="1:119" x14ac:dyDescent="0.2">
      <c r="A20" s="3" t="s">
        <v>23</v>
      </c>
      <c r="B20" s="8">
        <v>11.722790773811001</v>
      </c>
      <c r="C20" s="8">
        <v>0</v>
      </c>
      <c r="D20" s="1"/>
      <c r="E20" s="1"/>
      <c r="F20" s="1"/>
      <c r="G20" s="1"/>
      <c r="H20" s="1"/>
      <c r="I20" s="1"/>
      <c r="J20" s="1"/>
      <c r="K20" s="1"/>
      <c r="M20" s="1"/>
      <c r="N20" s="1"/>
      <c r="O20" s="1"/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BR20" s="1"/>
      <c r="BS20" s="1"/>
    </row>
    <row r="21" spans="1:119" x14ac:dyDescent="0.2">
      <c r="A21" s="3" t="s">
        <v>45</v>
      </c>
      <c r="B21" s="8">
        <v>0</v>
      </c>
      <c r="C21" s="8">
        <v>41.109734029244002</v>
      </c>
      <c r="D21" s="1"/>
      <c r="E21" s="1"/>
      <c r="F21" s="1"/>
      <c r="G21" s="1"/>
      <c r="H21" s="1"/>
      <c r="I21" s="1"/>
      <c r="J21" s="1"/>
      <c r="K21" s="1"/>
      <c r="M21" s="1"/>
      <c r="N21" s="1"/>
      <c r="O21" s="1"/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 spans="1:119" x14ac:dyDescent="0.2">
      <c r="A22" s="3" t="s">
        <v>22</v>
      </c>
      <c r="B22" s="8">
        <v>351.12025842441</v>
      </c>
      <c r="C22" s="8">
        <v>0</v>
      </c>
      <c r="D22" s="1"/>
      <c r="E22" s="1"/>
      <c r="F22" s="1"/>
      <c r="G22" s="1"/>
      <c r="H22" s="1"/>
      <c r="I22" s="1"/>
      <c r="J22" s="1"/>
      <c r="K22" s="1"/>
      <c r="M22" s="1"/>
      <c r="N22" s="1"/>
      <c r="O22" s="1"/>
      <c r="P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 spans="1:119" x14ac:dyDescent="0.2">
      <c r="A23" s="3" t="s">
        <v>46</v>
      </c>
      <c r="B23" s="8">
        <v>0</v>
      </c>
      <c r="C23" s="8">
        <v>1213.8817703361999</v>
      </c>
      <c r="D23" s="1"/>
      <c r="E23" s="1"/>
      <c r="F23" s="1"/>
      <c r="G23" s="1"/>
      <c r="H23" s="1"/>
      <c r="I23" s="1"/>
      <c r="J23" s="1"/>
      <c r="K23" s="1"/>
      <c r="M23" s="1"/>
      <c r="N23" s="1"/>
      <c r="O23" s="1"/>
      <c r="P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spans="1:119" x14ac:dyDescent="0.2">
      <c r="A24" s="3" t="s">
        <v>47</v>
      </c>
      <c r="B24" s="8">
        <v>0</v>
      </c>
      <c r="C24" s="8">
        <v>2485.8598537500002</v>
      </c>
      <c r="D24" s="1"/>
      <c r="E24" s="1"/>
      <c r="F24" s="1"/>
      <c r="G24" s="1"/>
      <c r="H24" s="1"/>
      <c r="I24" s="1"/>
      <c r="J24" s="1"/>
      <c r="K24" s="1"/>
      <c r="M24" s="1"/>
      <c r="N24" s="1"/>
      <c r="O24" s="1"/>
      <c r="P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 spans="1:119" x14ac:dyDescent="0.2">
      <c r="A25" s="3" t="s">
        <v>21</v>
      </c>
      <c r="B25" s="8">
        <v>10.981003594759001</v>
      </c>
      <c r="C25" s="8">
        <v>0</v>
      </c>
      <c r="D25" s="1"/>
      <c r="E25" s="1"/>
      <c r="F25" s="1"/>
      <c r="G25" s="1"/>
      <c r="H25" s="1"/>
      <c r="I25" s="1"/>
      <c r="J25" s="1"/>
      <c r="K25" s="1"/>
      <c r="M25" s="1"/>
      <c r="N25" s="1"/>
      <c r="O25" s="1"/>
      <c r="P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</row>
    <row r="26" spans="1:119" x14ac:dyDescent="0.2">
      <c r="A26" s="3" t="s">
        <v>20</v>
      </c>
      <c r="B26" s="8">
        <v>4.7239291045123002</v>
      </c>
      <c r="C26" s="8">
        <v>0</v>
      </c>
      <c r="D26" s="1"/>
      <c r="E26" s="1"/>
      <c r="F26" s="1"/>
      <c r="G26" s="1"/>
      <c r="H26" s="1"/>
      <c r="I26" s="1"/>
      <c r="J26" s="1"/>
      <c r="K26" s="1"/>
      <c r="M26" s="1"/>
      <c r="N26" s="1"/>
      <c r="O26" s="1"/>
      <c r="P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</row>
    <row r="27" spans="1:119" x14ac:dyDescent="0.2">
      <c r="A27" s="3" t="s">
        <v>19</v>
      </c>
      <c r="B27" s="8">
        <v>1855.3143386280001</v>
      </c>
      <c r="C27" s="8">
        <v>0</v>
      </c>
      <c r="D27" s="1"/>
      <c r="E27" s="1"/>
      <c r="F27" s="1"/>
      <c r="G27" s="1"/>
      <c r="H27" s="1"/>
      <c r="I27" s="1"/>
      <c r="J27" s="1"/>
      <c r="K27" s="1"/>
      <c r="M27" s="1"/>
      <c r="N27" s="1"/>
      <c r="O27" s="1"/>
      <c r="P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spans="1:119" x14ac:dyDescent="0.2">
      <c r="A28" s="3" t="s">
        <v>48</v>
      </c>
      <c r="B28" s="8">
        <v>0</v>
      </c>
      <c r="C28" s="8">
        <v>339.73875560199002</v>
      </c>
      <c r="D28" s="1"/>
      <c r="E28" s="1"/>
      <c r="F28" s="1"/>
      <c r="G28" s="1"/>
      <c r="H28" s="1"/>
      <c r="I28" s="1"/>
      <c r="J28" s="1"/>
      <c r="K28" s="1"/>
      <c r="M28" s="1"/>
      <c r="N28" s="1"/>
      <c r="O28" s="1"/>
      <c r="P28" s="1"/>
      <c r="R28" s="1"/>
      <c r="S28" s="1"/>
      <c r="T28" s="1"/>
      <c r="U28" s="1"/>
    </row>
    <row r="29" spans="1:119" x14ac:dyDescent="0.2">
      <c r="A29" s="3" t="s">
        <v>49</v>
      </c>
      <c r="B29" s="8">
        <v>0</v>
      </c>
      <c r="C29" s="8">
        <v>2485.8598537500002</v>
      </c>
      <c r="D29" s="1"/>
      <c r="E29" s="1"/>
      <c r="F29" s="1"/>
      <c r="G29" s="1"/>
      <c r="H29" s="1"/>
      <c r="I29" s="1"/>
      <c r="J29" s="1"/>
      <c r="K29" s="1"/>
      <c r="M29" s="1"/>
      <c r="N29" s="1"/>
      <c r="O29" s="1"/>
      <c r="P29" s="1"/>
      <c r="R29" s="1"/>
      <c r="S29" s="1"/>
      <c r="T29" s="1"/>
      <c r="U29" s="1"/>
    </row>
    <row r="30" spans="1:119" x14ac:dyDescent="0.2">
      <c r="A30" s="3" t="s">
        <v>18</v>
      </c>
      <c r="B30" s="8">
        <v>73.809561478158003</v>
      </c>
      <c r="C30" s="8">
        <v>0</v>
      </c>
      <c r="D30" s="1"/>
      <c r="E30" s="1"/>
      <c r="F30" s="1"/>
      <c r="G30" s="1"/>
      <c r="H30" s="1"/>
      <c r="I30" s="1"/>
      <c r="J30" s="1"/>
      <c r="K30" s="1"/>
      <c r="M30" s="1"/>
      <c r="N30" s="1"/>
      <c r="O30" s="1"/>
      <c r="P30" s="1"/>
      <c r="R30" s="1"/>
      <c r="S30" s="1"/>
      <c r="T30" s="1"/>
      <c r="U30" s="1"/>
    </row>
    <row r="31" spans="1:119" x14ac:dyDescent="0.2">
      <c r="A31" s="3" t="s">
        <v>50</v>
      </c>
      <c r="B31" s="8">
        <v>0</v>
      </c>
      <c r="C31" s="8">
        <v>87.033979061799997</v>
      </c>
      <c r="D31" s="1"/>
      <c r="E31" s="1"/>
      <c r="F31" s="1"/>
      <c r="G31" s="1"/>
      <c r="H31" s="1"/>
      <c r="I31" s="1"/>
      <c r="J31" s="1"/>
      <c r="K31" s="1"/>
      <c r="M31" s="1"/>
      <c r="N31" s="1"/>
      <c r="O31" s="1"/>
      <c r="P31" s="1"/>
      <c r="R31" s="1"/>
      <c r="S31" s="1"/>
      <c r="T31" s="1"/>
      <c r="U31" s="1"/>
    </row>
    <row r="32" spans="1:119" x14ac:dyDescent="0.2">
      <c r="A32" s="3" t="s">
        <v>51</v>
      </c>
      <c r="B32" s="8">
        <v>0</v>
      </c>
      <c r="C32" s="8">
        <v>11600.6793175</v>
      </c>
      <c r="D32" s="1"/>
      <c r="E32" s="1"/>
      <c r="F32" s="1"/>
      <c r="G32" s="1"/>
      <c r="H32" s="1"/>
      <c r="I32" s="1"/>
      <c r="J32" s="1"/>
      <c r="K32" s="1"/>
      <c r="M32" s="1"/>
      <c r="N32" s="1"/>
      <c r="O32" s="1"/>
      <c r="P32" s="1"/>
      <c r="R32" s="1"/>
      <c r="S32" s="1"/>
      <c r="T32" s="1"/>
      <c r="U32" s="1"/>
    </row>
    <row r="33" spans="1:37" x14ac:dyDescent="0.2">
      <c r="A33" s="3" t="s">
        <v>17</v>
      </c>
      <c r="B33" s="8">
        <v>2.1592437759009999</v>
      </c>
      <c r="C33" s="8">
        <v>0</v>
      </c>
      <c r="D33" s="1"/>
      <c r="E33" s="1"/>
      <c r="F33" s="1"/>
      <c r="G33" s="1"/>
      <c r="H33" s="1"/>
      <c r="I33" s="1"/>
      <c r="J33" s="1"/>
      <c r="K33" s="1"/>
      <c r="M33" s="1"/>
      <c r="N33" s="1"/>
      <c r="O33" s="1"/>
      <c r="P33" s="1"/>
      <c r="R33" s="1"/>
      <c r="S33" s="1"/>
      <c r="T33" s="1"/>
      <c r="U33" s="1"/>
    </row>
    <row r="34" spans="1:37" x14ac:dyDescent="0.2">
      <c r="B34" s="12" t="s">
        <v>16</v>
      </c>
      <c r="C34" s="12"/>
    </row>
    <row r="35" spans="1:37" x14ac:dyDescent="0.2">
      <c r="B35" t="s">
        <v>15</v>
      </c>
    </row>
    <row r="41" spans="1:37" ht="244" x14ac:dyDescent="0.2">
      <c r="B41" t="s">
        <v>62</v>
      </c>
      <c r="L41" s="4" t="s">
        <v>14</v>
      </c>
      <c r="M41" s="4" t="s">
        <v>13</v>
      </c>
      <c r="N41" s="4" t="s">
        <v>12</v>
      </c>
      <c r="O41" s="4" t="s">
        <v>87</v>
      </c>
      <c r="P41" s="4" t="s">
        <v>11</v>
      </c>
      <c r="Q41" s="4" t="s">
        <v>10</v>
      </c>
      <c r="R41" s="4" t="s">
        <v>9</v>
      </c>
      <c r="S41" s="4" t="s">
        <v>8</v>
      </c>
      <c r="T41" s="4" t="s">
        <v>7</v>
      </c>
      <c r="U41" s="4" t="s">
        <v>52</v>
      </c>
      <c r="V41" s="4" t="s">
        <v>6</v>
      </c>
      <c r="W41" s="4" t="s">
        <v>53</v>
      </c>
      <c r="X41" s="4" t="s">
        <v>5</v>
      </c>
      <c r="Y41" s="4" t="s">
        <v>54</v>
      </c>
      <c r="Z41" s="4" t="s">
        <v>4</v>
      </c>
      <c r="AA41" s="4" t="s">
        <v>55</v>
      </c>
      <c r="AB41" s="4" t="s">
        <v>56</v>
      </c>
      <c r="AC41" s="4" t="s">
        <v>3</v>
      </c>
      <c r="AD41" s="4" t="s">
        <v>57</v>
      </c>
      <c r="AE41" s="4" t="s">
        <v>2</v>
      </c>
      <c r="AF41" s="4" t="s">
        <v>58</v>
      </c>
      <c r="AG41" s="4" t="s">
        <v>59</v>
      </c>
      <c r="AH41" s="4" t="s">
        <v>1</v>
      </c>
      <c r="AI41" s="4" t="s">
        <v>60</v>
      </c>
      <c r="AJ41" s="4" t="s">
        <v>61</v>
      </c>
      <c r="AK41" s="4" t="s">
        <v>0</v>
      </c>
    </row>
    <row r="42" spans="1:37" x14ac:dyDescent="0.2">
      <c r="A42" s="3" t="s">
        <v>14</v>
      </c>
      <c r="B42" s="2">
        <v>0.51200000000000001</v>
      </c>
      <c r="G42" s="3" t="s">
        <v>14</v>
      </c>
      <c r="H42" s="2">
        <v>0.51200000000000001</v>
      </c>
      <c r="K42" s="3" t="s">
        <v>14</v>
      </c>
      <c r="L42" s="2">
        <f>1/H42</f>
        <v>1.953125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</row>
    <row r="43" spans="1:37" x14ac:dyDescent="0.2">
      <c r="A43" s="3" t="s">
        <v>13</v>
      </c>
      <c r="B43" s="2">
        <v>0.254352941176471</v>
      </c>
      <c r="G43" s="3" t="s">
        <v>13</v>
      </c>
      <c r="H43" s="2">
        <v>0.254352941176471</v>
      </c>
      <c r="K43" s="3" t="s">
        <v>13</v>
      </c>
      <c r="L43" s="2">
        <v>0</v>
      </c>
      <c r="M43" s="2">
        <f>1/H43</f>
        <v>3.9315448658649332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</row>
    <row r="44" spans="1:37" x14ac:dyDescent="0.2">
      <c r="A44" s="3" t="s">
        <v>63</v>
      </c>
      <c r="B44" s="2">
        <v>0.71295939614783999</v>
      </c>
      <c r="G44" s="3" t="s">
        <v>12</v>
      </c>
      <c r="H44" s="2">
        <v>0.15699674</v>
      </c>
      <c r="K44" s="3" t="s">
        <v>12</v>
      </c>
      <c r="L44" s="2">
        <v>0</v>
      </c>
      <c r="M44" s="2">
        <v>0</v>
      </c>
      <c r="N44" s="2">
        <f>1/H44</f>
        <v>6.3695590112253289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</row>
    <row r="45" spans="1:37" x14ac:dyDescent="0.2">
      <c r="A45" s="3" t="s">
        <v>64</v>
      </c>
      <c r="B45" s="2">
        <v>2.6160283298587401E-2</v>
      </c>
      <c r="G45" s="3" t="s">
        <v>87</v>
      </c>
      <c r="H45" s="2">
        <v>0.21010638000000001</v>
      </c>
      <c r="K45" s="3" t="s">
        <v>87</v>
      </c>
      <c r="L45" s="2">
        <v>0</v>
      </c>
      <c r="M45" s="2">
        <v>0</v>
      </c>
      <c r="N45" s="2">
        <v>0</v>
      </c>
      <c r="O45" s="2">
        <f>1/H45</f>
        <v>4.7594937383624423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</row>
    <row r="46" spans="1:37" x14ac:dyDescent="0.2">
      <c r="A46" s="3" t="s">
        <v>65</v>
      </c>
      <c r="B46" s="2">
        <v>0.15678280846805301</v>
      </c>
      <c r="G46" s="3" t="s">
        <v>11</v>
      </c>
      <c r="H46" s="2">
        <v>0.10077519379845</v>
      </c>
      <c r="K46" s="3" t="s">
        <v>11</v>
      </c>
      <c r="L46" s="2">
        <v>0</v>
      </c>
      <c r="M46" s="2">
        <v>0</v>
      </c>
      <c r="N46" s="2">
        <v>0</v>
      </c>
      <c r="O46" s="2">
        <v>0</v>
      </c>
      <c r="P46" s="2">
        <f>1/H46</f>
        <v>9.9230769230768843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</row>
    <row r="47" spans="1:37" x14ac:dyDescent="0.2">
      <c r="A47" s="3" t="s">
        <v>8</v>
      </c>
      <c r="B47" s="2">
        <v>1E-3</v>
      </c>
      <c r="G47" s="3" t="s">
        <v>10</v>
      </c>
      <c r="H47" s="2">
        <v>8.8253769999999995E-2</v>
      </c>
      <c r="K47" s="3" t="s">
        <v>10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f>1/H47</f>
        <v>11.330960705701298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</row>
    <row r="48" spans="1:37" x14ac:dyDescent="0.2">
      <c r="A48" s="3" t="s">
        <v>66</v>
      </c>
      <c r="B48" s="2">
        <v>0.29336517562641901</v>
      </c>
      <c r="G48" s="3" t="s">
        <v>9</v>
      </c>
      <c r="H48" s="2">
        <v>0.32650000000000001</v>
      </c>
      <c r="K48" s="3" t="s">
        <v>9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f>1/H48</f>
        <v>3.0627871362940273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</row>
    <row r="49" spans="1:37" x14ac:dyDescent="0.2">
      <c r="A49" s="3" t="s">
        <v>67</v>
      </c>
      <c r="B49" s="2">
        <v>0.16941460853805199</v>
      </c>
      <c r="G49" s="3" t="s">
        <v>8</v>
      </c>
      <c r="H49" s="2">
        <v>1E-3</v>
      </c>
      <c r="K49" s="3" t="s">
        <v>8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f>1/H49</f>
        <v>1000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</row>
    <row r="50" spans="1:37" x14ac:dyDescent="0.2">
      <c r="A50" s="3" t="s">
        <v>68</v>
      </c>
      <c r="B50" s="2">
        <v>0.2712</v>
      </c>
      <c r="G50" s="3" t="s">
        <v>7</v>
      </c>
      <c r="H50" s="2">
        <v>0.594510484702647</v>
      </c>
      <c r="K50" s="3" t="s">
        <v>7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f>1/H50</f>
        <v>1.6820561213485821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</row>
    <row r="51" spans="1:37" x14ac:dyDescent="0.2">
      <c r="A51" s="3" t="s">
        <v>69</v>
      </c>
      <c r="B51" s="2">
        <v>0.28972434600000002</v>
      </c>
      <c r="G51" s="3" t="s">
        <v>52</v>
      </c>
      <c r="H51" s="2">
        <v>3.5210271244508699E-2</v>
      </c>
      <c r="K51" s="3" t="s">
        <v>52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f>1/H51</f>
        <v>28.400803647769607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</row>
    <row r="52" spans="1:37" x14ac:dyDescent="0.2">
      <c r="A52" s="3" t="s">
        <v>52</v>
      </c>
      <c r="B52" s="2">
        <v>3.5210271244508699E-2</v>
      </c>
      <c r="G52" s="3" t="s">
        <v>6</v>
      </c>
      <c r="H52" s="2">
        <v>0.151833515076021</v>
      </c>
      <c r="K52" s="3" t="s">
        <v>6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f>1/H52</f>
        <v>6.5861611614491933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</row>
    <row r="53" spans="1:37" x14ac:dyDescent="0.2">
      <c r="A53" s="3" t="s">
        <v>70</v>
      </c>
      <c r="B53" s="2">
        <v>0.76182176530961299</v>
      </c>
      <c r="G53" s="3" t="s">
        <v>53</v>
      </c>
      <c r="H53" s="2">
        <v>2.6548303198530299E-3</v>
      </c>
      <c r="K53" s="3" t="s">
        <v>53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f>1/H53</f>
        <v>376.67190724842993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</row>
    <row r="54" spans="1:37" x14ac:dyDescent="0.2">
      <c r="A54" s="3" t="s">
        <v>0</v>
      </c>
      <c r="B54" s="2">
        <v>0.588913887374242</v>
      </c>
      <c r="G54" s="3" t="s">
        <v>5</v>
      </c>
      <c r="H54" s="2">
        <v>0.23369608895987701</v>
      </c>
      <c r="K54" s="3" t="s">
        <v>5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f>1/H54</f>
        <v>4.2790617697144633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</row>
    <row r="55" spans="1:37" x14ac:dyDescent="0.2">
      <c r="A55" s="3" t="s">
        <v>71</v>
      </c>
      <c r="B55" s="2">
        <v>9.6847826086956496E-2</v>
      </c>
      <c r="G55" s="3" t="s">
        <v>54</v>
      </c>
      <c r="H55" s="2">
        <v>0.174075299039015</v>
      </c>
      <c r="K55" s="3" t="s">
        <v>54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f>1/H55</f>
        <v>5.7446404258416512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</row>
    <row r="56" spans="1:37" x14ac:dyDescent="0.2">
      <c r="A56" s="3" t="s">
        <v>72</v>
      </c>
      <c r="B56" s="2">
        <v>1</v>
      </c>
      <c r="G56" s="3" t="s">
        <v>4</v>
      </c>
      <c r="H56" s="2">
        <v>2.1029437311394301</v>
      </c>
      <c r="K56" s="3" t="s">
        <v>4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f>1/H56</f>
        <v>0.47552389785444887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</row>
    <row r="57" spans="1:37" x14ac:dyDescent="0.2">
      <c r="A57" s="3" t="s">
        <v>73</v>
      </c>
      <c r="B57" s="2">
        <v>0.79825750846153898</v>
      </c>
      <c r="G57" s="3" t="s">
        <v>55</v>
      </c>
      <c r="H57" s="2">
        <v>0.45</v>
      </c>
      <c r="K57" s="3" t="s">
        <v>55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f>1/H57</f>
        <v>2.2222222222222223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</row>
    <row r="58" spans="1:37" x14ac:dyDescent="0.2">
      <c r="A58" s="3" t="s">
        <v>9</v>
      </c>
      <c r="B58" s="2">
        <v>0.32650000000000001</v>
      </c>
      <c r="G58" s="3" t="s">
        <v>56</v>
      </c>
      <c r="H58" s="2">
        <v>0.25</v>
      </c>
      <c r="K58" s="3" t="s">
        <v>56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f>1/H58</f>
        <v>4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</row>
    <row r="59" spans="1:37" x14ac:dyDescent="0.2">
      <c r="A59" s="3" t="s">
        <v>74</v>
      </c>
      <c r="B59" s="2">
        <v>0.31458165885387301</v>
      </c>
      <c r="G59" s="3" t="s">
        <v>3</v>
      </c>
      <c r="H59" s="2">
        <v>8.1081E-2</v>
      </c>
      <c r="K59" s="3" t="s">
        <v>3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f>1/H59</f>
        <v>12.333345666679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</row>
    <row r="60" spans="1:37" x14ac:dyDescent="0.2">
      <c r="A60" s="3" t="s">
        <v>75</v>
      </c>
      <c r="B60" s="2">
        <v>0.62622727272727197</v>
      </c>
      <c r="G60" s="3" t="s">
        <v>57</v>
      </c>
      <c r="H60" s="2">
        <v>0.83825280000000002</v>
      </c>
      <c r="K60" s="3" t="s">
        <v>57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f>1/H60</f>
        <v>1.1929575421638914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</row>
    <row r="61" spans="1:37" x14ac:dyDescent="0.2">
      <c r="A61" s="3" t="s">
        <v>76</v>
      </c>
      <c r="B61" s="2">
        <v>0.45221259000000202</v>
      </c>
      <c r="G61" s="3" t="s">
        <v>2</v>
      </c>
      <c r="H61" s="2">
        <v>0.34719</v>
      </c>
      <c r="K61" s="3" t="s">
        <v>2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f>1/H61</f>
        <v>2.8802672888044012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</row>
    <row r="62" spans="1:37" x14ac:dyDescent="0.2">
      <c r="A62" s="3" t="s">
        <v>77</v>
      </c>
      <c r="B62" s="2">
        <v>0.13553168683044201</v>
      </c>
      <c r="G62" s="3" t="s">
        <v>58</v>
      </c>
      <c r="H62" s="2">
        <v>0.45</v>
      </c>
      <c r="K62" s="3" t="s">
        <v>58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f>1/H62</f>
        <v>2.2222222222222223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</row>
    <row r="63" spans="1:37" x14ac:dyDescent="0.2">
      <c r="A63" s="3" t="s">
        <v>78</v>
      </c>
      <c r="B63" s="2">
        <v>0.18049288863615701</v>
      </c>
      <c r="G63" s="3" t="s">
        <v>59</v>
      </c>
      <c r="H63" s="2">
        <v>0.25</v>
      </c>
      <c r="K63" s="3" t="s">
        <v>59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f>1/H63</f>
        <v>4</v>
      </c>
      <c r="AH63" s="2">
        <v>0</v>
      </c>
      <c r="AI63" s="2">
        <v>0</v>
      </c>
      <c r="AJ63" s="2">
        <v>0</v>
      </c>
      <c r="AK63" s="2">
        <v>0</v>
      </c>
    </row>
    <row r="64" spans="1:37" x14ac:dyDescent="0.2">
      <c r="A64" s="3" t="s">
        <v>4</v>
      </c>
      <c r="B64" s="2">
        <v>2.1029437311394301</v>
      </c>
      <c r="G64" s="3" t="s">
        <v>1</v>
      </c>
      <c r="H64" s="2">
        <v>4.8399709999999999E-2</v>
      </c>
      <c r="K64" s="3" t="s">
        <v>1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f>1/H64</f>
        <v>20.661280821723931</v>
      </c>
      <c r="AI64" s="2">
        <v>0</v>
      </c>
      <c r="AJ64" s="2">
        <v>0</v>
      </c>
      <c r="AK64" s="2">
        <v>0</v>
      </c>
    </row>
    <row r="65" spans="1:37" x14ac:dyDescent="0.2">
      <c r="A65" s="3" t="s">
        <v>6</v>
      </c>
      <c r="B65" s="2">
        <v>0.151833515076021</v>
      </c>
      <c r="G65" s="3" t="s">
        <v>60</v>
      </c>
      <c r="H65" s="2">
        <v>0.45</v>
      </c>
      <c r="K65" s="3" t="s">
        <v>60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f>1/H65</f>
        <v>2.2222222222222223</v>
      </c>
      <c r="AJ65" s="2">
        <v>0</v>
      </c>
      <c r="AK65" s="2">
        <v>0</v>
      </c>
    </row>
    <row r="66" spans="1:37" x14ac:dyDescent="0.2">
      <c r="A66" s="3" t="s">
        <v>11</v>
      </c>
      <c r="B66" s="2">
        <v>0.10077519379845</v>
      </c>
      <c r="G66" s="3" t="s">
        <v>61</v>
      </c>
      <c r="H66" s="2">
        <v>0.25</v>
      </c>
      <c r="K66" s="3" t="s">
        <v>61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f>1/H66</f>
        <v>4</v>
      </c>
      <c r="AK66" s="2">
        <v>0</v>
      </c>
    </row>
    <row r="67" spans="1:37" x14ac:dyDescent="0.2">
      <c r="A67" s="3" t="s">
        <v>7</v>
      </c>
      <c r="B67" s="2">
        <v>0.594510484702647</v>
      </c>
      <c r="G67" s="3" t="s">
        <v>0</v>
      </c>
      <c r="H67" s="2">
        <v>0.588913887374242</v>
      </c>
      <c r="K67" s="3" t="s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f>1/H67</f>
        <v>1.6980411252630585</v>
      </c>
    </row>
    <row r="68" spans="1:37" x14ac:dyDescent="0.2">
      <c r="A68" s="3" t="s">
        <v>5</v>
      </c>
      <c r="B68" s="2">
        <v>0.23369608895987701</v>
      </c>
      <c r="H68" s="6" t="s">
        <v>88</v>
      </c>
      <c r="L68" s="11" t="s">
        <v>89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spans="1:37" x14ac:dyDescent="0.2">
      <c r="A69" s="3" t="s">
        <v>79</v>
      </c>
      <c r="B69" s="2">
        <v>0.4</v>
      </c>
    </row>
    <row r="70" spans="1:37" x14ac:dyDescent="0.2">
      <c r="A70" s="3" t="s">
        <v>58</v>
      </c>
      <c r="B70" s="2">
        <v>0.45</v>
      </c>
      <c r="H70" t="s">
        <v>253</v>
      </c>
    </row>
    <row r="71" spans="1:37" x14ac:dyDescent="0.2">
      <c r="A71" s="3" t="s">
        <v>3</v>
      </c>
      <c r="B71" s="2">
        <v>8.1081E-2</v>
      </c>
    </row>
    <row r="72" spans="1:37" x14ac:dyDescent="0.2">
      <c r="A72" s="3" t="s">
        <v>80</v>
      </c>
      <c r="B72" s="2">
        <v>0.96257744986113203</v>
      </c>
    </row>
    <row r="73" spans="1:37" x14ac:dyDescent="0.2">
      <c r="A73" s="3" t="s">
        <v>81</v>
      </c>
      <c r="B73" s="2">
        <v>1</v>
      </c>
    </row>
    <row r="74" spans="1:37" x14ac:dyDescent="0.2">
      <c r="A74" s="3" t="s">
        <v>82</v>
      </c>
      <c r="B74" s="2">
        <v>1</v>
      </c>
    </row>
    <row r="75" spans="1:37" x14ac:dyDescent="0.2">
      <c r="A75" s="3" t="s">
        <v>57</v>
      </c>
      <c r="B75" s="2">
        <v>0.83825280000000002</v>
      </c>
    </row>
    <row r="76" spans="1:37" x14ac:dyDescent="0.2">
      <c r="A76" s="3" t="s">
        <v>83</v>
      </c>
      <c r="B76" s="2">
        <v>1E-3</v>
      </c>
    </row>
    <row r="77" spans="1:37" x14ac:dyDescent="0.2">
      <c r="A77" s="3" t="s">
        <v>84</v>
      </c>
      <c r="B77" s="2">
        <v>0.95833058794241399</v>
      </c>
    </row>
    <row r="78" spans="1:37" x14ac:dyDescent="0.2">
      <c r="A78" s="3" t="s">
        <v>54</v>
      </c>
      <c r="B78" s="2">
        <v>0.174075299039015</v>
      </c>
    </row>
    <row r="79" spans="1:37" x14ac:dyDescent="0.2">
      <c r="A79" s="3" t="s">
        <v>85</v>
      </c>
      <c r="B79" s="2">
        <v>1.5458064516129</v>
      </c>
    </row>
    <row r="80" spans="1:37" x14ac:dyDescent="0.2">
      <c r="A80" s="3" t="s">
        <v>2</v>
      </c>
      <c r="B80" s="2">
        <v>0.34719</v>
      </c>
    </row>
    <row r="81" spans="1:51" x14ac:dyDescent="0.2">
      <c r="A81" s="3" t="s">
        <v>53</v>
      </c>
      <c r="B81" s="2">
        <v>2.6548303198530299E-3</v>
      </c>
    </row>
    <row r="82" spans="1:51" x14ac:dyDescent="0.2">
      <c r="A82" s="3" t="s">
        <v>86</v>
      </c>
      <c r="B82" s="2">
        <v>0.259072757905773</v>
      </c>
    </row>
    <row r="83" spans="1:51" x14ac:dyDescent="0.2">
      <c r="A83" s="3" t="s">
        <v>56</v>
      </c>
      <c r="B83" s="2">
        <v>0.25</v>
      </c>
    </row>
    <row r="84" spans="1:51" x14ac:dyDescent="0.2">
      <c r="A84" s="3" t="s">
        <v>59</v>
      </c>
      <c r="B84" s="2">
        <v>0.25</v>
      </c>
    </row>
    <row r="85" spans="1:51" x14ac:dyDescent="0.2">
      <c r="A85" s="3" t="s">
        <v>61</v>
      </c>
      <c r="B85" s="2">
        <v>0.25</v>
      </c>
    </row>
    <row r="89" spans="1:51" ht="244" x14ac:dyDescent="0.2">
      <c r="B89" s="4" t="s">
        <v>14</v>
      </c>
      <c r="C89" s="4" t="s">
        <v>13</v>
      </c>
      <c r="D89" s="4" t="s">
        <v>12</v>
      </c>
      <c r="E89" s="4" t="s">
        <v>87</v>
      </c>
      <c r="F89" s="4" t="s">
        <v>11</v>
      </c>
      <c r="G89" s="4" t="s">
        <v>10</v>
      </c>
      <c r="H89" s="4" t="s">
        <v>9</v>
      </c>
      <c r="I89" s="4" t="s">
        <v>8</v>
      </c>
      <c r="J89" s="4" t="s">
        <v>7</v>
      </c>
      <c r="K89" s="4" t="s">
        <v>52</v>
      </c>
      <c r="L89" s="4" t="s">
        <v>6</v>
      </c>
      <c r="M89" s="4" t="s">
        <v>53</v>
      </c>
      <c r="N89" s="4" t="s">
        <v>5</v>
      </c>
      <c r="O89" s="4" t="s">
        <v>54</v>
      </c>
      <c r="P89" s="4" t="s">
        <v>4</v>
      </c>
      <c r="Q89" s="4" t="s">
        <v>55</v>
      </c>
      <c r="R89" s="4" t="s">
        <v>56</v>
      </c>
      <c r="S89" s="4" t="s">
        <v>3</v>
      </c>
      <c r="T89" s="4" t="s">
        <v>57</v>
      </c>
      <c r="U89" s="4" t="s">
        <v>2</v>
      </c>
      <c r="V89" s="4" t="s">
        <v>58</v>
      </c>
      <c r="W89" s="4" t="s">
        <v>59</v>
      </c>
      <c r="X89" s="4" t="s">
        <v>1</v>
      </c>
      <c r="Y89" s="4" t="s">
        <v>60</v>
      </c>
      <c r="Z89" s="4" t="s">
        <v>61</v>
      </c>
      <c r="AA89" s="4" t="s">
        <v>0</v>
      </c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</row>
    <row r="90" spans="1:51" x14ac:dyDescent="0.2">
      <c r="A90" s="3" t="s">
        <v>93</v>
      </c>
      <c r="B90" s="10">
        <v>0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">
      <c r="A91" s="3" t="s">
        <v>41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748.43970000000002</v>
      </c>
      <c r="S91" s="10">
        <v>0</v>
      </c>
      <c r="T91" s="10">
        <v>0</v>
      </c>
      <c r="U91" s="10">
        <v>0</v>
      </c>
      <c r="V91" s="10">
        <v>0</v>
      </c>
      <c r="W91" s="10">
        <v>748.43970000000002</v>
      </c>
      <c r="X91" s="10">
        <v>0</v>
      </c>
      <c r="Y91" s="10">
        <v>0</v>
      </c>
      <c r="Z91" s="10">
        <v>3492.7186000000002</v>
      </c>
      <c r="AA91" s="10">
        <v>0</v>
      </c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">
      <c r="A92" s="3" t="s">
        <v>94</v>
      </c>
      <c r="B92" s="10">
        <v>0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">
      <c r="A93" s="3" t="s">
        <v>95</v>
      </c>
      <c r="B93" s="10">
        <v>286.76152730246997</v>
      </c>
      <c r="C93" s="10">
        <v>284.23271681389002</v>
      </c>
      <c r="D93" s="10">
        <v>0</v>
      </c>
      <c r="E93" s="10">
        <v>0</v>
      </c>
      <c r="F93" s="10">
        <v>599.30664270445004</v>
      </c>
      <c r="G93" s="10">
        <v>0</v>
      </c>
      <c r="H93" s="10">
        <v>16.498263478895002</v>
      </c>
      <c r="I93" s="10">
        <v>107.58945982553</v>
      </c>
      <c r="J93" s="10">
        <v>407.92555901421002</v>
      </c>
      <c r="K93" s="10">
        <v>236.16064</v>
      </c>
      <c r="L93" s="10">
        <v>292.32439207994003</v>
      </c>
      <c r="M93" s="10">
        <v>88.560239999999993</v>
      </c>
      <c r="N93" s="10">
        <v>248.15311078425</v>
      </c>
      <c r="O93" s="10">
        <v>236.16064</v>
      </c>
      <c r="P93" s="10">
        <v>351.53750242352999</v>
      </c>
      <c r="Q93" s="10">
        <v>0</v>
      </c>
      <c r="R93" s="10">
        <v>0</v>
      </c>
      <c r="S93" s="10">
        <v>485.30325915903001</v>
      </c>
      <c r="T93" s="10">
        <v>22.787423471392</v>
      </c>
      <c r="U93" s="10">
        <v>0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6.4348511187881998</v>
      </c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">
      <c r="A94" s="3" t="s">
        <v>96</v>
      </c>
      <c r="B94" s="10">
        <v>0</v>
      </c>
      <c r="C94" s="10">
        <v>0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3698.4014000000002</v>
      </c>
      <c r="V94" s="10">
        <v>0</v>
      </c>
      <c r="W94" s="10">
        <v>0</v>
      </c>
      <c r="X94" s="10">
        <v>0</v>
      </c>
      <c r="Y94" s="10">
        <v>0</v>
      </c>
      <c r="Z94" s="10">
        <v>0</v>
      </c>
      <c r="AA94" s="10">
        <v>0</v>
      </c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">
      <c r="A95" s="3" t="s">
        <v>97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2035.0988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">
      <c r="A96" s="3" t="s">
        <v>34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">
      <c r="A97" s="3" t="s">
        <v>33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">
      <c r="A98" s="3" t="s">
        <v>32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">
      <c r="A99" s="3" t="s">
        <v>31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">
      <c r="A100" s="3" t="s">
        <v>30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">
      <c r="A101" s="3" t="s">
        <v>29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">
      <c r="A102" s="3" t="s">
        <v>27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>
        <v>0</v>
      </c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">
      <c r="A103" s="3" t="s">
        <v>98</v>
      </c>
      <c r="B103" s="10">
        <v>0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">
      <c r="A104" s="3" t="s">
        <v>99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">
      <c r="A105" s="3" t="s">
        <v>100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">
      <c r="A106" s="3" t="s">
        <v>26</v>
      </c>
      <c r="B106" s="10">
        <v>0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">
      <c r="A107" s="3" t="s">
        <v>25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">
      <c r="A108" s="3" t="s">
        <v>101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">
      <c r="A109" s="3" t="s">
        <v>102</v>
      </c>
      <c r="B109" s="10">
        <v>0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">
      <c r="A110" s="3" t="s">
        <v>103</v>
      </c>
      <c r="B110" s="10">
        <v>0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">
      <c r="A111" s="3" t="s">
        <v>43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">
      <c r="A112" s="3" t="s">
        <v>24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">
      <c r="A113" s="3" t="s">
        <v>44</v>
      </c>
      <c r="B113" s="10">
        <v>0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">
      <c r="A114" s="3" t="s">
        <v>104</v>
      </c>
      <c r="B114" s="10">
        <v>0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104.98774044383001</v>
      </c>
      <c r="R114" s="10">
        <v>0</v>
      </c>
      <c r="S114" s="10">
        <v>0</v>
      </c>
      <c r="T114" s="10">
        <v>0</v>
      </c>
      <c r="U114" s="10">
        <v>0</v>
      </c>
      <c r="V114" s="10">
        <v>29.383754796788999</v>
      </c>
      <c r="W114" s="10">
        <v>0</v>
      </c>
      <c r="X114" s="10">
        <v>0</v>
      </c>
      <c r="Y114" s="10">
        <v>7.5275047593827997</v>
      </c>
      <c r="Z114" s="10">
        <v>0</v>
      </c>
      <c r="AA114" s="10">
        <v>0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">
      <c r="A115" s="3" t="s">
        <v>23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">
      <c r="A116" s="3" t="s">
        <v>45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">
      <c r="A117" s="3" t="s">
        <v>22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">
      <c r="A118" s="3" t="s">
        <v>105</v>
      </c>
      <c r="B118" s="10">
        <v>0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">
      <c r="A119" s="3" t="s">
        <v>106</v>
      </c>
      <c r="B119" s="10">
        <v>0</v>
      </c>
      <c r="C119" s="10">
        <v>0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">
      <c r="A120" s="3" t="s">
        <v>46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">
      <c r="A121" s="3" t="s">
        <v>47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">
      <c r="A122" s="3" t="s">
        <v>107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">
      <c r="A123" s="3" t="s">
        <v>21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">
      <c r="A124" s="3" t="s">
        <v>20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">
      <c r="A125" s="3" t="s">
        <v>108</v>
      </c>
      <c r="B125" s="10">
        <v>0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">
      <c r="A126" s="3" t="s">
        <v>109</v>
      </c>
      <c r="B126" s="10">
        <v>0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">
      <c r="A127" s="3" t="s">
        <v>110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">
      <c r="A128" s="3" t="s">
        <v>19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">
      <c r="A129" s="3" t="s">
        <v>111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">
      <c r="A130" s="3" t="s">
        <v>112</v>
      </c>
      <c r="B130" s="10">
        <v>0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0</v>
      </c>
      <c r="Z130" s="10">
        <v>0</v>
      </c>
      <c r="AA130" s="10">
        <v>0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">
      <c r="A131" s="3" t="s">
        <v>113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">
      <c r="A132" s="3" t="s">
        <v>48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">
      <c r="A133" s="3" t="s">
        <v>49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">
      <c r="A134" s="3" t="s">
        <v>18</v>
      </c>
      <c r="B134" s="10">
        <v>0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">
      <c r="A135" s="3" t="s">
        <v>114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">
      <c r="A136" s="3" t="s">
        <v>115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">
      <c r="A137" s="3" t="s">
        <v>50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">
      <c r="A138" s="3" t="s">
        <v>51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">
      <c r="A139" s="3" t="s">
        <v>116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2592.5273047477999</v>
      </c>
      <c r="R139" s="10">
        <v>0</v>
      </c>
      <c r="S139" s="10">
        <v>0</v>
      </c>
      <c r="T139" s="10">
        <v>0</v>
      </c>
      <c r="U139" s="10">
        <v>0</v>
      </c>
      <c r="V139" s="10">
        <v>725.59125765208</v>
      </c>
      <c r="W139" s="10">
        <v>0</v>
      </c>
      <c r="X139" s="10">
        <v>0</v>
      </c>
      <c r="Y139" s="10">
        <v>185.88133760017001</v>
      </c>
      <c r="Z139" s="10">
        <v>0</v>
      </c>
      <c r="AA139" s="10">
        <v>0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">
      <c r="A140" s="3" t="s">
        <v>117</v>
      </c>
      <c r="B140" s="10">
        <v>0</v>
      </c>
      <c r="C140" s="10">
        <v>0</v>
      </c>
      <c r="D140" s="10">
        <v>1525.0000250000001</v>
      </c>
      <c r="E140" s="10">
        <v>1525.0000250000001</v>
      </c>
      <c r="F140" s="10">
        <v>0</v>
      </c>
      <c r="G140" s="10">
        <v>1525.0000250000001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9194.9997149999999</v>
      </c>
      <c r="S140" s="10">
        <v>0</v>
      </c>
      <c r="T140" s="10">
        <v>0</v>
      </c>
      <c r="U140" s="10">
        <v>0</v>
      </c>
      <c r="V140" s="10">
        <v>0</v>
      </c>
      <c r="W140" s="10">
        <v>9194.9997149999999</v>
      </c>
      <c r="X140" s="10">
        <v>1525.0000250000001</v>
      </c>
      <c r="Y140" s="10">
        <v>0</v>
      </c>
      <c r="Z140" s="10">
        <v>42909.998670000001</v>
      </c>
      <c r="AA140" s="10">
        <v>0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">
      <c r="A141" s="3" t="s">
        <v>118</v>
      </c>
      <c r="B141" s="10">
        <v>0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">
      <c r="A142" s="3" t="s">
        <v>119</v>
      </c>
      <c r="B142" s="10">
        <v>0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">
      <c r="A143" s="3" t="s">
        <v>120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">
      <c r="A144" s="3" t="s">
        <v>121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">
      <c r="A145" s="3" t="s">
        <v>122</v>
      </c>
      <c r="B145" s="10">
        <v>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">
      <c r="A146" s="3" t="s">
        <v>17</v>
      </c>
      <c r="B146" s="10">
        <v>0</v>
      </c>
      <c r="C146" s="10">
        <v>0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10">
        <v>0</v>
      </c>
      <c r="U146" s="10">
        <v>0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">
      <c r="A147" s="3" t="s">
        <v>123</v>
      </c>
      <c r="B147" s="10">
        <v>0</v>
      </c>
      <c r="C147" s="10">
        <v>0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">
      <c r="A148" s="3" t="s">
        <v>124</v>
      </c>
      <c r="B148" s="10">
        <v>0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">
      <c r="A149" s="3" t="s">
        <v>125</v>
      </c>
      <c r="B149" s="10">
        <v>0</v>
      </c>
      <c r="C149" s="10">
        <v>0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">
      <c r="B150" s="12" t="s">
        <v>126</v>
      </c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51" x14ac:dyDescent="0.2">
      <c r="B151" s="2">
        <f>SUM(B90:B149)</f>
        <v>286.76152730246997</v>
      </c>
      <c r="C151" s="2">
        <f t="shared" ref="C151:AA151" si="26">SUM(C90:C149)</f>
        <v>284.23271681389002</v>
      </c>
      <c r="D151" s="2">
        <f t="shared" si="26"/>
        <v>1525.0000250000001</v>
      </c>
      <c r="E151" s="2">
        <f t="shared" si="26"/>
        <v>1525.0000250000001</v>
      </c>
      <c r="F151" s="2">
        <f t="shared" si="26"/>
        <v>599.30664270445004</v>
      </c>
      <c r="G151" s="2">
        <f t="shared" si="26"/>
        <v>1525.0000250000001</v>
      </c>
      <c r="H151" s="2">
        <f t="shared" si="26"/>
        <v>16.498263478895002</v>
      </c>
      <c r="I151" s="2">
        <f t="shared" si="26"/>
        <v>107.58945982553</v>
      </c>
      <c r="J151" s="2">
        <f t="shared" si="26"/>
        <v>407.92555901421002</v>
      </c>
      <c r="K151" s="2">
        <f t="shared" si="26"/>
        <v>236.16064</v>
      </c>
      <c r="L151" s="2">
        <f t="shared" si="26"/>
        <v>292.32439207994003</v>
      </c>
      <c r="M151" s="2">
        <f t="shared" si="26"/>
        <v>88.560239999999993</v>
      </c>
      <c r="N151" s="2">
        <f t="shared" si="26"/>
        <v>248.15311078425</v>
      </c>
      <c r="O151" s="2">
        <f t="shared" si="26"/>
        <v>236.16064</v>
      </c>
      <c r="P151" s="2">
        <f t="shared" si="26"/>
        <v>351.53750242352999</v>
      </c>
      <c r="Q151" s="2">
        <f t="shared" si="26"/>
        <v>2697.5150451916297</v>
      </c>
      <c r="R151" s="2">
        <f t="shared" si="26"/>
        <v>9943.4394150000007</v>
      </c>
      <c r="S151" s="2">
        <f t="shared" si="26"/>
        <v>485.30325915903001</v>
      </c>
      <c r="T151" s="2">
        <f t="shared" si="26"/>
        <v>22.787423471392</v>
      </c>
      <c r="U151" s="2">
        <f t="shared" si="26"/>
        <v>5733.5002000000004</v>
      </c>
      <c r="V151" s="2">
        <f t="shared" si="26"/>
        <v>754.97501244886905</v>
      </c>
      <c r="W151" s="2">
        <f t="shared" si="26"/>
        <v>9943.4394150000007</v>
      </c>
      <c r="X151" s="2">
        <f t="shared" si="26"/>
        <v>1525.0000250000001</v>
      </c>
      <c r="Y151" s="2">
        <f t="shared" si="26"/>
        <v>193.40884235955281</v>
      </c>
      <c r="Z151" s="2">
        <f t="shared" si="26"/>
        <v>46402.717270000001</v>
      </c>
      <c r="AA151" s="2">
        <f t="shared" si="26"/>
        <v>6.4348511187881998</v>
      </c>
    </row>
    <row r="152" spans="1:51" x14ac:dyDescent="0.2">
      <c r="B152" s="11" t="s">
        <v>127</v>
      </c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5" spans="1:51" x14ac:dyDescent="0.2">
      <c r="B155" s="14"/>
      <c r="C155" s="14"/>
    </row>
    <row r="156" spans="1:51" x14ac:dyDescent="0.2">
      <c r="B156" s="6"/>
      <c r="C156" s="6"/>
    </row>
    <row r="157" spans="1:51" ht="244" x14ac:dyDescent="0.2">
      <c r="B157" s="4" t="s">
        <v>14</v>
      </c>
      <c r="C157" s="4" t="s">
        <v>13</v>
      </c>
      <c r="D157" s="4" t="s">
        <v>12</v>
      </c>
      <c r="E157" s="4" t="s">
        <v>87</v>
      </c>
      <c r="F157" s="4" t="s">
        <v>11</v>
      </c>
      <c r="G157" s="4" t="s">
        <v>10</v>
      </c>
      <c r="H157" s="4" t="s">
        <v>9</v>
      </c>
      <c r="I157" s="4" t="s">
        <v>8</v>
      </c>
      <c r="J157" s="4" t="s">
        <v>7</v>
      </c>
      <c r="K157" s="4" t="s">
        <v>52</v>
      </c>
      <c r="L157" s="4" t="s">
        <v>6</v>
      </c>
      <c r="M157" s="4" t="s">
        <v>53</v>
      </c>
      <c r="N157" s="4" t="s">
        <v>5</v>
      </c>
      <c r="O157" s="4" t="s">
        <v>54</v>
      </c>
      <c r="P157" s="4" t="s">
        <v>4</v>
      </c>
      <c r="Q157" s="4" t="s">
        <v>55</v>
      </c>
      <c r="R157" s="4" t="s">
        <v>56</v>
      </c>
      <c r="S157" s="4" t="s">
        <v>3</v>
      </c>
      <c r="T157" s="4" t="s">
        <v>57</v>
      </c>
      <c r="U157" s="4" t="s">
        <v>2</v>
      </c>
      <c r="V157" s="4" t="s">
        <v>58</v>
      </c>
      <c r="W157" s="4" t="s">
        <v>59</v>
      </c>
      <c r="X157" s="4" t="s">
        <v>1</v>
      </c>
      <c r="Y157" s="4" t="s">
        <v>60</v>
      </c>
      <c r="Z157" s="4" t="s">
        <v>61</v>
      </c>
      <c r="AA157" s="4" t="s">
        <v>0</v>
      </c>
    </row>
    <row r="158" spans="1:51" x14ac:dyDescent="0.2">
      <c r="A158" s="3" t="s">
        <v>41</v>
      </c>
      <c r="B158" s="2">
        <f t="shared" ref="B158:AA158" si="27">B91/B$151</f>
        <v>0</v>
      </c>
      <c r="C158" s="2">
        <f t="shared" si="27"/>
        <v>0</v>
      </c>
      <c r="D158" s="2">
        <f t="shared" si="27"/>
        <v>0</v>
      </c>
      <c r="E158" s="2">
        <f t="shared" si="27"/>
        <v>0</v>
      </c>
      <c r="F158" s="2">
        <f t="shared" si="27"/>
        <v>0</v>
      </c>
      <c r="G158" s="2">
        <f t="shared" si="27"/>
        <v>0</v>
      </c>
      <c r="H158" s="2">
        <f t="shared" si="27"/>
        <v>0</v>
      </c>
      <c r="I158" s="2">
        <f t="shared" si="27"/>
        <v>0</v>
      </c>
      <c r="J158" s="2">
        <f t="shared" si="27"/>
        <v>0</v>
      </c>
      <c r="K158" s="2">
        <f t="shared" si="27"/>
        <v>0</v>
      </c>
      <c r="L158" s="2">
        <f t="shared" si="27"/>
        <v>0</v>
      </c>
      <c r="M158" s="2">
        <f t="shared" si="27"/>
        <v>0</v>
      </c>
      <c r="N158" s="2">
        <f t="shared" si="27"/>
        <v>0</v>
      </c>
      <c r="O158" s="2">
        <f t="shared" si="27"/>
        <v>0</v>
      </c>
      <c r="P158" s="2">
        <f t="shared" si="27"/>
        <v>0</v>
      </c>
      <c r="Q158" s="2">
        <f t="shared" si="27"/>
        <v>0</v>
      </c>
      <c r="R158" s="2">
        <f t="shared" si="27"/>
        <v>7.5269699825490408E-2</v>
      </c>
      <c r="S158" s="2">
        <f t="shared" si="27"/>
        <v>0</v>
      </c>
      <c r="T158" s="2">
        <f t="shared" si="27"/>
        <v>0</v>
      </c>
      <c r="U158" s="2">
        <f t="shared" si="27"/>
        <v>0</v>
      </c>
      <c r="V158" s="2">
        <f t="shared" si="27"/>
        <v>0</v>
      </c>
      <c r="W158" s="2">
        <f t="shared" si="27"/>
        <v>7.5269699825490408E-2</v>
      </c>
      <c r="X158" s="2">
        <f t="shared" si="27"/>
        <v>0</v>
      </c>
      <c r="Y158" s="2">
        <f t="shared" si="27"/>
        <v>0</v>
      </c>
      <c r="Z158" s="2">
        <f t="shared" si="27"/>
        <v>7.5269699825490421E-2</v>
      </c>
      <c r="AA158" s="2">
        <f t="shared" si="27"/>
        <v>0</v>
      </c>
      <c r="AC158" s="1"/>
    </row>
    <row r="159" spans="1:51" x14ac:dyDescent="0.2">
      <c r="A159" s="3" t="s">
        <v>95</v>
      </c>
      <c r="B159" s="2">
        <f t="shared" ref="B159:AA159" si="28">B93/B$151</f>
        <v>1</v>
      </c>
      <c r="C159" s="2">
        <f t="shared" si="28"/>
        <v>1</v>
      </c>
      <c r="D159" s="2">
        <f t="shared" si="28"/>
        <v>0</v>
      </c>
      <c r="E159" s="2">
        <f t="shared" si="28"/>
        <v>0</v>
      </c>
      <c r="F159" s="2">
        <f t="shared" si="28"/>
        <v>1</v>
      </c>
      <c r="G159" s="2">
        <f t="shared" si="28"/>
        <v>0</v>
      </c>
      <c r="H159" s="2">
        <f t="shared" si="28"/>
        <v>1</v>
      </c>
      <c r="I159" s="2">
        <f t="shared" si="28"/>
        <v>1</v>
      </c>
      <c r="J159" s="2">
        <f t="shared" si="28"/>
        <v>1</v>
      </c>
      <c r="K159" s="2">
        <f t="shared" si="28"/>
        <v>1</v>
      </c>
      <c r="L159" s="2">
        <f t="shared" si="28"/>
        <v>1</v>
      </c>
      <c r="M159" s="2">
        <f t="shared" si="28"/>
        <v>1</v>
      </c>
      <c r="N159" s="2">
        <f t="shared" si="28"/>
        <v>1</v>
      </c>
      <c r="O159" s="2">
        <f t="shared" si="28"/>
        <v>1</v>
      </c>
      <c r="P159" s="2">
        <f t="shared" si="28"/>
        <v>1</v>
      </c>
      <c r="Q159" s="2">
        <f t="shared" si="28"/>
        <v>0</v>
      </c>
      <c r="R159" s="2">
        <f t="shared" si="28"/>
        <v>0</v>
      </c>
      <c r="S159" s="2">
        <f t="shared" si="28"/>
        <v>1</v>
      </c>
      <c r="T159" s="2">
        <f t="shared" si="28"/>
        <v>1</v>
      </c>
      <c r="U159" s="2">
        <f t="shared" si="28"/>
        <v>0</v>
      </c>
      <c r="V159" s="2">
        <f t="shared" si="28"/>
        <v>0</v>
      </c>
      <c r="W159" s="2">
        <f t="shared" si="28"/>
        <v>0</v>
      </c>
      <c r="X159" s="2">
        <f t="shared" si="28"/>
        <v>0</v>
      </c>
      <c r="Y159" s="2">
        <f t="shared" si="28"/>
        <v>0</v>
      </c>
      <c r="Z159" s="2">
        <f t="shared" si="28"/>
        <v>0</v>
      </c>
      <c r="AA159" s="2">
        <f t="shared" si="28"/>
        <v>1</v>
      </c>
      <c r="AC159" s="1"/>
    </row>
    <row r="160" spans="1:51" x14ac:dyDescent="0.2">
      <c r="A160" s="3" t="s">
        <v>96</v>
      </c>
      <c r="B160" s="2">
        <f t="shared" ref="B160:AA160" si="29">B94/B$151</f>
        <v>0</v>
      </c>
      <c r="C160" s="2">
        <f t="shared" si="29"/>
        <v>0</v>
      </c>
      <c r="D160" s="2">
        <f t="shared" si="29"/>
        <v>0</v>
      </c>
      <c r="E160" s="2">
        <f t="shared" si="29"/>
        <v>0</v>
      </c>
      <c r="F160" s="2">
        <f t="shared" si="29"/>
        <v>0</v>
      </c>
      <c r="G160" s="2">
        <f t="shared" si="29"/>
        <v>0</v>
      </c>
      <c r="H160" s="2">
        <f t="shared" si="29"/>
        <v>0</v>
      </c>
      <c r="I160" s="2">
        <f t="shared" si="29"/>
        <v>0</v>
      </c>
      <c r="J160" s="2">
        <f t="shared" si="29"/>
        <v>0</v>
      </c>
      <c r="K160" s="2">
        <f t="shared" si="29"/>
        <v>0</v>
      </c>
      <c r="L160" s="2">
        <f t="shared" si="29"/>
        <v>0</v>
      </c>
      <c r="M160" s="2">
        <f t="shared" si="29"/>
        <v>0</v>
      </c>
      <c r="N160" s="2">
        <f t="shared" si="29"/>
        <v>0</v>
      </c>
      <c r="O160" s="2">
        <f t="shared" si="29"/>
        <v>0</v>
      </c>
      <c r="P160" s="2">
        <f t="shared" si="29"/>
        <v>0</v>
      </c>
      <c r="Q160" s="2">
        <f t="shared" si="29"/>
        <v>0</v>
      </c>
      <c r="R160" s="2">
        <f t="shared" si="29"/>
        <v>0</v>
      </c>
      <c r="S160" s="2">
        <f t="shared" si="29"/>
        <v>0</v>
      </c>
      <c r="T160" s="2">
        <f t="shared" si="29"/>
        <v>0</v>
      </c>
      <c r="U160" s="2">
        <f t="shared" si="29"/>
        <v>0.6450512376366534</v>
      </c>
      <c r="V160" s="2">
        <f t="shared" si="29"/>
        <v>0</v>
      </c>
      <c r="W160" s="2">
        <f t="shared" si="29"/>
        <v>0</v>
      </c>
      <c r="X160" s="2">
        <f t="shared" si="29"/>
        <v>0</v>
      </c>
      <c r="Y160" s="2">
        <f t="shared" si="29"/>
        <v>0</v>
      </c>
      <c r="Z160" s="2">
        <f t="shared" si="29"/>
        <v>0</v>
      </c>
      <c r="AA160" s="2">
        <f t="shared" si="29"/>
        <v>0</v>
      </c>
      <c r="AC160" s="1"/>
    </row>
    <row r="161" spans="1:29" x14ac:dyDescent="0.2">
      <c r="A161" s="3" t="s">
        <v>97</v>
      </c>
      <c r="B161" s="2">
        <f t="shared" ref="B161:AA161" si="30">B95/B$151</f>
        <v>0</v>
      </c>
      <c r="C161" s="2">
        <f t="shared" si="30"/>
        <v>0</v>
      </c>
      <c r="D161" s="2">
        <f t="shared" si="30"/>
        <v>0</v>
      </c>
      <c r="E161" s="2">
        <f t="shared" si="30"/>
        <v>0</v>
      </c>
      <c r="F161" s="2">
        <f t="shared" si="30"/>
        <v>0</v>
      </c>
      <c r="G161" s="2">
        <f t="shared" si="30"/>
        <v>0</v>
      </c>
      <c r="H161" s="2">
        <f t="shared" si="30"/>
        <v>0</v>
      </c>
      <c r="I161" s="2">
        <f t="shared" si="30"/>
        <v>0</v>
      </c>
      <c r="J161" s="2">
        <f t="shared" si="30"/>
        <v>0</v>
      </c>
      <c r="K161" s="2">
        <f t="shared" si="30"/>
        <v>0</v>
      </c>
      <c r="L161" s="2">
        <f t="shared" si="30"/>
        <v>0</v>
      </c>
      <c r="M161" s="2">
        <f t="shared" si="30"/>
        <v>0</v>
      </c>
      <c r="N161" s="2">
        <f t="shared" si="30"/>
        <v>0</v>
      </c>
      <c r="O161" s="2">
        <f t="shared" si="30"/>
        <v>0</v>
      </c>
      <c r="P161" s="2">
        <f t="shared" si="30"/>
        <v>0</v>
      </c>
      <c r="Q161" s="2">
        <f t="shared" si="30"/>
        <v>0</v>
      </c>
      <c r="R161" s="2">
        <f t="shared" si="30"/>
        <v>0</v>
      </c>
      <c r="S161" s="2">
        <f t="shared" si="30"/>
        <v>0</v>
      </c>
      <c r="T161" s="2">
        <f t="shared" si="30"/>
        <v>0</v>
      </c>
      <c r="U161" s="2">
        <f t="shared" si="30"/>
        <v>0.35494876236334655</v>
      </c>
      <c r="V161" s="2">
        <f t="shared" si="30"/>
        <v>0</v>
      </c>
      <c r="W161" s="2">
        <f t="shared" si="30"/>
        <v>0</v>
      </c>
      <c r="X161" s="2">
        <f t="shared" si="30"/>
        <v>0</v>
      </c>
      <c r="Y161" s="2">
        <f t="shared" si="30"/>
        <v>0</v>
      </c>
      <c r="Z161" s="2">
        <f t="shared" si="30"/>
        <v>0</v>
      </c>
      <c r="AA161" s="2">
        <f t="shared" si="30"/>
        <v>0</v>
      </c>
      <c r="AC161" s="1"/>
    </row>
    <row r="162" spans="1:29" x14ac:dyDescent="0.2">
      <c r="A162" s="3" t="s">
        <v>104</v>
      </c>
      <c r="B162" s="2">
        <f t="shared" ref="B162:AA162" si="31">B114/B$151</f>
        <v>0</v>
      </c>
      <c r="C162" s="2">
        <f t="shared" si="31"/>
        <v>0</v>
      </c>
      <c r="D162" s="2">
        <f t="shared" si="31"/>
        <v>0</v>
      </c>
      <c r="E162" s="2">
        <f t="shared" si="31"/>
        <v>0</v>
      </c>
      <c r="F162" s="2">
        <f t="shared" si="31"/>
        <v>0</v>
      </c>
      <c r="G162" s="2">
        <f t="shared" si="31"/>
        <v>0</v>
      </c>
      <c r="H162" s="2">
        <f t="shared" si="31"/>
        <v>0</v>
      </c>
      <c r="I162" s="2">
        <f t="shared" si="31"/>
        <v>0</v>
      </c>
      <c r="J162" s="2">
        <f t="shared" si="31"/>
        <v>0</v>
      </c>
      <c r="K162" s="2">
        <f t="shared" si="31"/>
        <v>0</v>
      </c>
      <c r="L162" s="2">
        <f t="shared" si="31"/>
        <v>0</v>
      </c>
      <c r="M162" s="2">
        <f t="shared" si="31"/>
        <v>0</v>
      </c>
      <c r="N162" s="2">
        <f t="shared" si="31"/>
        <v>0</v>
      </c>
      <c r="O162" s="2">
        <f t="shared" si="31"/>
        <v>0</v>
      </c>
      <c r="P162" s="2">
        <f t="shared" si="31"/>
        <v>0</v>
      </c>
      <c r="Q162" s="2">
        <f t="shared" si="31"/>
        <v>3.8920168631115734E-2</v>
      </c>
      <c r="R162" s="2">
        <f t="shared" si="31"/>
        <v>0</v>
      </c>
      <c r="S162" s="2">
        <f t="shared" si="31"/>
        <v>0</v>
      </c>
      <c r="T162" s="2">
        <f t="shared" si="31"/>
        <v>0</v>
      </c>
      <c r="U162" s="2">
        <f t="shared" si="31"/>
        <v>0</v>
      </c>
      <c r="V162" s="2">
        <f t="shared" si="31"/>
        <v>3.892016863111615E-2</v>
      </c>
      <c r="W162" s="2">
        <f t="shared" si="31"/>
        <v>0</v>
      </c>
      <c r="X162" s="2">
        <f t="shared" si="31"/>
        <v>0</v>
      </c>
      <c r="Y162" s="2">
        <f t="shared" si="31"/>
        <v>3.8920168631116379E-2</v>
      </c>
      <c r="Z162" s="2">
        <f t="shared" si="31"/>
        <v>0</v>
      </c>
      <c r="AA162" s="2">
        <f t="shared" si="31"/>
        <v>0</v>
      </c>
      <c r="AC162" s="1"/>
    </row>
    <row r="163" spans="1:29" x14ac:dyDescent="0.2">
      <c r="A163" s="3" t="s">
        <v>116</v>
      </c>
      <c r="B163" s="2">
        <f t="shared" ref="B163:AA163" si="32">B139/B$151</f>
        <v>0</v>
      </c>
      <c r="C163" s="2">
        <f t="shared" si="32"/>
        <v>0</v>
      </c>
      <c r="D163" s="2">
        <f t="shared" si="32"/>
        <v>0</v>
      </c>
      <c r="E163" s="2">
        <f t="shared" si="32"/>
        <v>0</v>
      </c>
      <c r="F163" s="2">
        <f t="shared" si="32"/>
        <v>0</v>
      </c>
      <c r="G163" s="2">
        <f t="shared" si="32"/>
        <v>0</v>
      </c>
      <c r="H163" s="2">
        <f t="shared" si="32"/>
        <v>0</v>
      </c>
      <c r="I163" s="2">
        <f t="shared" si="32"/>
        <v>0</v>
      </c>
      <c r="J163" s="2">
        <f t="shared" si="32"/>
        <v>0</v>
      </c>
      <c r="K163" s="2">
        <f t="shared" si="32"/>
        <v>0</v>
      </c>
      <c r="L163" s="2">
        <f t="shared" si="32"/>
        <v>0</v>
      </c>
      <c r="M163" s="2">
        <f t="shared" si="32"/>
        <v>0</v>
      </c>
      <c r="N163" s="2">
        <f t="shared" si="32"/>
        <v>0</v>
      </c>
      <c r="O163" s="2">
        <f t="shared" si="32"/>
        <v>0</v>
      </c>
      <c r="P163" s="2">
        <f t="shared" si="32"/>
        <v>0</v>
      </c>
      <c r="Q163" s="2">
        <f t="shared" si="32"/>
        <v>0.96107983136888431</v>
      </c>
      <c r="R163" s="2">
        <f t="shared" si="32"/>
        <v>0</v>
      </c>
      <c r="S163" s="2">
        <f t="shared" si="32"/>
        <v>0</v>
      </c>
      <c r="T163" s="2">
        <f t="shared" si="32"/>
        <v>0</v>
      </c>
      <c r="U163" s="2">
        <f t="shared" si="32"/>
        <v>0</v>
      </c>
      <c r="V163" s="2">
        <f t="shared" si="32"/>
        <v>0.96107983136888375</v>
      </c>
      <c r="W163" s="2">
        <f t="shared" si="32"/>
        <v>0</v>
      </c>
      <c r="X163" s="2">
        <f t="shared" si="32"/>
        <v>0</v>
      </c>
      <c r="Y163" s="2">
        <f t="shared" si="32"/>
        <v>0.96107983136888364</v>
      </c>
      <c r="Z163" s="2">
        <f t="shared" si="32"/>
        <v>0</v>
      </c>
      <c r="AA163" s="2">
        <f t="shared" si="32"/>
        <v>0</v>
      </c>
      <c r="AC163" s="1"/>
    </row>
    <row r="164" spans="1:29" x14ac:dyDescent="0.2">
      <c r="A164" s="3" t="s">
        <v>117</v>
      </c>
      <c r="B164" s="2">
        <f t="shared" ref="B164:AA164" si="33">B140/B$151</f>
        <v>0</v>
      </c>
      <c r="C164" s="2">
        <f t="shared" si="33"/>
        <v>0</v>
      </c>
      <c r="D164" s="2">
        <f t="shared" si="33"/>
        <v>1</v>
      </c>
      <c r="E164" s="2">
        <f t="shared" si="33"/>
        <v>1</v>
      </c>
      <c r="F164" s="2">
        <f t="shared" si="33"/>
        <v>0</v>
      </c>
      <c r="G164" s="2">
        <f t="shared" si="33"/>
        <v>1</v>
      </c>
      <c r="H164" s="2">
        <f t="shared" si="33"/>
        <v>0</v>
      </c>
      <c r="I164" s="2">
        <f t="shared" si="33"/>
        <v>0</v>
      </c>
      <c r="J164" s="2">
        <f t="shared" si="33"/>
        <v>0</v>
      </c>
      <c r="K164" s="2">
        <f t="shared" si="33"/>
        <v>0</v>
      </c>
      <c r="L164" s="2">
        <f t="shared" si="33"/>
        <v>0</v>
      </c>
      <c r="M164" s="2">
        <f t="shared" si="33"/>
        <v>0</v>
      </c>
      <c r="N164" s="2">
        <f t="shared" si="33"/>
        <v>0</v>
      </c>
      <c r="O164" s="2">
        <f t="shared" si="33"/>
        <v>0</v>
      </c>
      <c r="P164" s="2">
        <f t="shared" si="33"/>
        <v>0</v>
      </c>
      <c r="Q164" s="2">
        <f t="shared" si="33"/>
        <v>0</v>
      </c>
      <c r="R164" s="2">
        <f t="shared" si="33"/>
        <v>0.92473030017450952</v>
      </c>
      <c r="S164" s="2">
        <f t="shared" si="33"/>
        <v>0</v>
      </c>
      <c r="T164" s="2">
        <f t="shared" si="33"/>
        <v>0</v>
      </c>
      <c r="U164" s="2">
        <f t="shared" si="33"/>
        <v>0</v>
      </c>
      <c r="V164" s="2">
        <f t="shared" si="33"/>
        <v>0</v>
      </c>
      <c r="W164" s="2">
        <f t="shared" si="33"/>
        <v>0.92473030017450952</v>
      </c>
      <c r="X164" s="2">
        <f t="shared" si="33"/>
        <v>1</v>
      </c>
      <c r="Y164" s="2">
        <f t="shared" si="33"/>
        <v>0</v>
      </c>
      <c r="Z164" s="2">
        <f t="shared" si="33"/>
        <v>0.92473030017450963</v>
      </c>
      <c r="AA164" s="2">
        <f t="shared" si="33"/>
        <v>0</v>
      </c>
      <c r="AC164" s="1"/>
    </row>
    <row r="165" spans="1:29" x14ac:dyDescent="0.2">
      <c r="B165" s="11" t="s">
        <v>128</v>
      </c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9" spans="1:29" x14ac:dyDescent="0.2">
      <c r="D169" t="s">
        <v>232</v>
      </c>
    </row>
    <row r="171" spans="1:29" x14ac:dyDescent="0.2">
      <c r="A171" t="s">
        <v>129</v>
      </c>
      <c r="B171" s="2">
        <f>R158</f>
        <v>7.5269699825490408E-2</v>
      </c>
    </row>
    <row r="172" spans="1:29" x14ac:dyDescent="0.2">
      <c r="A172" t="s">
        <v>130</v>
      </c>
      <c r="B172" s="2">
        <f>W158</f>
        <v>7.5269699825490408E-2</v>
      </c>
    </row>
    <row r="173" spans="1:29" x14ac:dyDescent="0.2">
      <c r="A173" t="s">
        <v>131</v>
      </c>
      <c r="B173" s="2">
        <f>Z158</f>
        <v>7.5269699825490421E-2</v>
      </c>
    </row>
    <row r="174" spans="1:29" x14ac:dyDescent="0.2">
      <c r="A174" t="s">
        <v>132</v>
      </c>
      <c r="B174" s="2">
        <v>1</v>
      </c>
    </row>
    <row r="175" spans="1:29" x14ac:dyDescent="0.2">
      <c r="A175" t="s">
        <v>133</v>
      </c>
      <c r="B175" s="2">
        <v>1</v>
      </c>
    </row>
    <row r="176" spans="1:29" x14ac:dyDescent="0.2">
      <c r="A176" t="s">
        <v>134</v>
      </c>
      <c r="B176" s="2">
        <v>1</v>
      </c>
    </row>
    <row r="177" spans="1:2" x14ac:dyDescent="0.2">
      <c r="A177" t="s">
        <v>135</v>
      </c>
      <c r="B177" s="2">
        <v>1</v>
      </c>
    </row>
    <row r="178" spans="1:2" x14ac:dyDescent="0.2">
      <c r="A178" t="s">
        <v>136</v>
      </c>
      <c r="B178" s="2">
        <v>1</v>
      </c>
    </row>
    <row r="179" spans="1:2" x14ac:dyDescent="0.2">
      <c r="A179" t="s">
        <v>137</v>
      </c>
      <c r="B179" s="2">
        <v>1</v>
      </c>
    </row>
    <row r="180" spans="1:2" x14ac:dyDescent="0.2">
      <c r="A180" t="s">
        <v>138</v>
      </c>
      <c r="B180" s="2">
        <v>1</v>
      </c>
    </row>
    <row r="181" spans="1:2" x14ac:dyDescent="0.2">
      <c r="A181" t="s">
        <v>139</v>
      </c>
      <c r="B181" s="2">
        <v>1</v>
      </c>
    </row>
    <row r="182" spans="1:2" x14ac:dyDescent="0.2">
      <c r="A182" t="s">
        <v>140</v>
      </c>
      <c r="B182" s="2">
        <v>1</v>
      </c>
    </row>
    <row r="183" spans="1:2" x14ac:dyDescent="0.2">
      <c r="A183" t="s">
        <v>141</v>
      </c>
      <c r="B183" s="2">
        <v>1</v>
      </c>
    </row>
    <row r="184" spans="1:2" x14ac:dyDescent="0.2">
      <c r="A184" t="s">
        <v>142</v>
      </c>
      <c r="B184" s="2">
        <v>1</v>
      </c>
    </row>
    <row r="185" spans="1:2" x14ac:dyDescent="0.2">
      <c r="A185" t="s">
        <v>143</v>
      </c>
      <c r="B185" s="2">
        <v>1</v>
      </c>
    </row>
    <row r="186" spans="1:2" x14ac:dyDescent="0.2">
      <c r="A186" t="s">
        <v>144</v>
      </c>
      <c r="B186" s="2">
        <v>1</v>
      </c>
    </row>
    <row r="187" spans="1:2" x14ac:dyDescent="0.2">
      <c r="A187" t="s">
        <v>145</v>
      </c>
      <c r="B187" s="2">
        <v>1</v>
      </c>
    </row>
    <row r="188" spans="1:2" x14ac:dyDescent="0.2">
      <c r="A188" t="s">
        <v>146</v>
      </c>
      <c r="B188" s="2">
        <v>1</v>
      </c>
    </row>
    <row r="189" spans="1:2" x14ac:dyDescent="0.2">
      <c r="A189" t="s">
        <v>147</v>
      </c>
      <c r="B189" s="2">
        <f>U160</f>
        <v>0.6450512376366534</v>
      </c>
    </row>
    <row r="190" spans="1:2" x14ac:dyDescent="0.2">
      <c r="A190" s="5" t="s">
        <v>148</v>
      </c>
      <c r="B190" s="2">
        <f>U161</f>
        <v>0.35494876236334655</v>
      </c>
    </row>
    <row r="191" spans="1:2" x14ac:dyDescent="0.2">
      <c r="A191" s="5" t="s">
        <v>149</v>
      </c>
      <c r="B191" s="2">
        <f>Q162</f>
        <v>3.8920168631115734E-2</v>
      </c>
    </row>
    <row r="192" spans="1:2" x14ac:dyDescent="0.2">
      <c r="A192" s="5" t="s">
        <v>150</v>
      </c>
      <c r="B192" s="2">
        <f>V162</f>
        <v>3.892016863111615E-2</v>
      </c>
    </row>
    <row r="193" spans="1:51" x14ac:dyDescent="0.2">
      <c r="A193" s="5" t="s">
        <v>151</v>
      </c>
      <c r="B193" s="2">
        <f>Y162</f>
        <v>3.8920168631116379E-2</v>
      </c>
    </row>
    <row r="194" spans="1:51" x14ac:dyDescent="0.2">
      <c r="A194" s="5" t="s">
        <v>152</v>
      </c>
      <c r="B194" s="2">
        <f>Q163</f>
        <v>0.96107983136888431</v>
      </c>
    </row>
    <row r="195" spans="1:51" x14ac:dyDescent="0.2">
      <c r="A195" s="5" t="s">
        <v>153</v>
      </c>
      <c r="B195" s="2">
        <f>V163</f>
        <v>0.96107983136888375</v>
      </c>
    </row>
    <row r="196" spans="1:51" x14ac:dyDescent="0.2">
      <c r="A196" s="5" t="s">
        <v>154</v>
      </c>
      <c r="B196" s="2">
        <f>Y163</f>
        <v>0.96107983136888364</v>
      </c>
    </row>
    <row r="197" spans="1:51" x14ac:dyDescent="0.2">
      <c r="A197" s="5" t="s">
        <v>157</v>
      </c>
      <c r="B197" s="2">
        <v>1</v>
      </c>
    </row>
    <row r="198" spans="1:51" x14ac:dyDescent="0.2">
      <c r="A198" s="5" t="s">
        <v>158</v>
      </c>
      <c r="B198" s="2">
        <v>1</v>
      </c>
    </row>
    <row r="199" spans="1:51" x14ac:dyDescent="0.2">
      <c r="A199" s="5" t="s">
        <v>159</v>
      </c>
      <c r="B199" s="2">
        <v>1</v>
      </c>
    </row>
    <row r="200" spans="1:51" x14ac:dyDescent="0.2">
      <c r="A200" s="5" t="s">
        <v>155</v>
      </c>
      <c r="B200" s="2">
        <f>R164</f>
        <v>0.92473030017450952</v>
      </c>
    </row>
    <row r="201" spans="1:51" x14ac:dyDescent="0.2">
      <c r="A201" s="5" t="s">
        <v>156</v>
      </c>
      <c r="B201" s="2">
        <f>W164</f>
        <v>0.92473030017450952</v>
      </c>
    </row>
    <row r="202" spans="1:51" x14ac:dyDescent="0.2">
      <c r="A202" s="5" t="s">
        <v>160</v>
      </c>
      <c r="B202" s="2">
        <f>X164</f>
        <v>1</v>
      </c>
    </row>
    <row r="203" spans="1:51" x14ac:dyDescent="0.2">
      <c r="A203" s="5" t="s">
        <v>161</v>
      </c>
      <c r="B203" s="2">
        <f>Z164</f>
        <v>0.92473030017450963</v>
      </c>
    </row>
    <row r="204" spans="1:51" x14ac:dyDescent="0.2">
      <c r="A204" s="5"/>
    </row>
    <row r="205" spans="1:51" x14ac:dyDescent="0.2">
      <c r="F205" t="s">
        <v>162</v>
      </c>
    </row>
    <row r="206" spans="1:51" ht="322" x14ac:dyDescent="0.2">
      <c r="B206" s="4" t="s">
        <v>129</v>
      </c>
      <c r="C206" s="4" t="s">
        <v>130</v>
      </c>
      <c r="D206" s="4" t="s">
        <v>131</v>
      </c>
      <c r="E206" s="4" t="s">
        <v>132</v>
      </c>
      <c r="F206" s="4" t="s">
        <v>133</v>
      </c>
      <c r="G206" s="4" t="s">
        <v>134</v>
      </c>
      <c r="H206" s="4" t="s">
        <v>135</v>
      </c>
      <c r="I206" s="4" t="s">
        <v>136</v>
      </c>
      <c r="J206" s="4" t="s">
        <v>137</v>
      </c>
      <c r="K206" s="4" t="s">
        <v>138</v>
      </c>
      <c r="L206" s="4" t="s">
        <v>139</v>
      </c>
      <c r="M206" s="4" t="s">
        <v>140</v>
      </c>
      <c r="N206" s="4" t="s">
        <v>141</v>
      </c>
      <c r="O206" s="4" t="s">
        <v>142</v>
      </c>
      <c r="P206" s="4" t="s">
        <v>143</v>
      </c>
      <c r="Q206" s="4" t="s">
        <v>144</v>
      </c>
      <c r="R206" s="4" t="s">
        <v>145</v>
      </c>
      <c r="S206" s="4" t="s">
        <v>146</v>
      </c>
      <c r="T206" s="4" t="s">
        <v>147</v>
      </c>
      <c r="U206" s="4" t="s">
        <v>148</v>
      </c>
      <c r="V206" s="4" t="s">
        <v>149</v>
      </c>
      <c r="W206" s="4" t="s">
        <v>150</v>
      </c>
      <c r="X206" s="4" t="s">
        <v>151</v>
      </c>
      <c r="Y206" s="4" t="s">
        <v>152</v>
      </c>
      <c r="Z206" s="4" t="s">
        <v>153</v>
      </c>
      <c r="AA206" s="4" t="s">
        <v>154</v>
      </c>
      <c r="AB206" s="4" t="s">
        <v>157</v>
      </c>
      <c r="AC206" s="4" t="s">
        <v>158</v>
      </c>
      <c r="AD206" s="4" t="s">
        <v>159</v>
      </c>
      <c r="AE206" s="4" t="s">
        <v>155</v>
      </c>
      <c r="AF206" s="4" t="s">
        <v>156</v>
      </c>
      <c r="AG206" s="4" t="s">
        <v>160</v>
      </c>
      <c r="AH206" s="4" t="s">
        <v>161</v>
      </c>
      <c r="AX206" s="4" t="s">
        <v>42</v>
      </c>
      <c r="AY206" s="4" t="s">
        <v>40</v>
      </c>
    </row>
    <row r="207" spans="1:51" x14ac:dyDescent="0.2">
      <c r="A207" s="3" t="s">
        <v>129</v>
      </c>
      <c r="B207" s="2">
        <f>B171</f>
        <v>7.5269699825490408E-2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D207" s="2">
        <v>0</v>
      </c>
      <c r="AE207" s="2">
        <v>0</v>
      </c>
      <c r="AF207" s="2">
        <v>0</v>
      </c>
      <c r="AG207" s="2">
        <v>0</v>
      </c>
      <c r="AH207" s="2">
        <v>0</v>
      </c>
      <c r="AW207" s="3" t="s">
        <v>14</v>
      </c>
      <c r="AX207" s="2" cm="1">
        <f t="array" ref="AX207:AY232">TRANSPOSE(BK8:CJ9)</f>
        <v>88.712840796490241</v>
      </c>
      <c r="AY207" s="2">
        <v>0</v>
      </c>
    </row>
    <row r="208" spans="1:51" x14ac:dyDescent="0.2">
      <c r="A208" s="3" t="s">
        <v>130</v>
      </c>
      <c r="B208" s="2">
        <v>0</v>
      </c>
      <c r="C208" s="2">
        <f>B172</f>
        <v>7.5269699825490408E-2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D208" s="2">
        <v>0</v>
      </c>
      <c r="AE208" s="2">
        <v>0</v>
      </c>
      <c r="AF208" s="2">
        <v>0</v>
      </c>
      <c r="AG208" s="2">
        <v>0</v>
      </c>
      <c r="AH208" s="2">
        <v>0</v>
      </c>
      <c r="AW208" s="3" t="s">
        <v>13</v>
      </c>
      <c r="AX208" s="2">
        <v>41.538696971306592</v>
      </c>
      <c r="AY208" s="2">
        <v>0</v>
      </c>
    </row>
    <row r="209" spans="1:51" x14ac:dyDescent="0.2">
      <c r="A209" s="3" t="s">
        <v>131</v>
      </c>
      <c r="B209" s="2">
        <v>0</v>
      </c>
      <c r="C209" s="2">
        <v>0</v>
      </c>
      <c r="D209" s="2">
        <f>B173</f>
        <v>7.5269699825490421E-2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D209" s="2">
        <v>0</v>
      </c>
      <c r="AE209" s="2">
        <v>0</v>
      </c>
      <c r="AF209" s="2">
        <v>0</v>
      </c>
      <c r="AG209" s="2">
        <v>0</v>
      </c>
      <c r="AH209" s="2">
        <v>0</v>
      </c>
      <c r="AW209" s="3" t="s">
        <v>12</v>
      </c>
      <c r="AX209" s="2">
        <v>1524.9999939249058</v>
      </c>
      <c r="AY209" s="2">
        <v>0</v>
      </c>
    </row>
    <row r="210" spans="1:51" x14ac:dyDescent="0.2">
      <c r="A210" s="3" t="s">
        <v>132</v>
      </c>
      <c r="B210" s="2">
        <v>0</v>
      </c>
      <c r="C210" s="2">
        <v>0</v>
      </c>
      <c r="D210" s="2">
        <v>0</v>
      </c>
      <c r="E210" s="2">
        <f>B174</f>
        <v>1</v>
      </c>
      <c r="F210" s="2">
        <v>0</v>
      </c>
      <c r="G210" s="2">
        <v>0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  <c r="AG210" s="2">
        <v>0</v>
      </c>
      <c r="AH210" s="2">
        <v>0</v>
      </c>
      <c r="AW210" s="3" t="s">
        <v>87</v>
      </c>
      <c r="AX210" s="2">
        <v>1525.0000466202405</v>
      </c>
      <c r="AY210" s="2">
        <v>0</v>
      </c>
    </row>
    <row r="211" spans="1:51" x14ac:dyDescent="0.2">
      <c r="A211" s="3" t="s">
        <v>133</v>
      </c>
      <c r="B211" s="2">
        <v>0</v>
      </c>
      <c r="C211" s="2">
        <v>0</v>
      </c>
      <c r="D211" s="2">
        <v>0</v>
      </c>
      <c r="E211" s="2">
        <v>0</v>
      </c>
      <c r="F211" s="2">
        <f>B175</f>
        <v>1</v>
      </c>
      <c r="G211" s="2">
        <v>0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0</v>
      </c>
      <c r="AD211" s="2">
        <v>0</v>
      </c>
      <c r="AE211" s="2">
        <v>0</v>
      </c>
      <c r="AF211" s="2">
        <v>0</v>
      </c>
      <c r="AG211" s="2">
        <v>0</v>
      </c>
      <c r="AH211" s="2">
        <v>0</v>
      </c>
      <c r="AW211" s="3" t="s">
        <v>11</v>
      </c>
      <c r="AX211" s="2">
        <v>137.87847297700469</v>
      </c>
      <c r="AY211" s="2">
        <v>0</v>
      </c>
    </row>
    <row r="212" spans="1:51" x14ac:dyDescent="0.2">
      <c r="A212" s="3" t="s">
        <v>134</v>
      </c>
      <c r="B212" s="2">
        <v>0</v>
      </c>
      <c r="C212" s="2">
        <v>0</v>
      </c>
      <c r="D212" s="2">
        <v>0</v>
      </c>
      <c r="E212" s="2">
        <v>0</v>
      </c>
      <c r="F212" s="2">
        <v>0</v>
      </c>
      <c r="G212" s="2">
        <f>B176</f>
        <v>1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0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s="2">
        <v>0</v>
      </c>
      <c r="AE212" s="2">
        <v>0</v>
      </c>
      <c r="AF212" s="2">
        <v>0</v>
      </c>
      <c r="AG212" s="2">
        <v>0</v>
      </c>
      <c r="AH212" s="2">
        <v>0</v>
      </c>
      <c r="AW212" s="3" t="s">
        <v>10</v>
      </c>
      <c r="AX212" s="2">
        <v>1524.9999617742108</v>
      </c>
      <c r="AY212" s="2">
        <v>0</v>
      </c>
    </row>
    <row r="213" spans="1:51" x14ac:dyDescent="0.2">
      <c r="A213" s="3" t="s">
        <v>135</v>
      </c>
      <c r="B213" s="2">
        <v>0</v>
      </c>
      <c r="C213" s="2">
        <v>0</v>
      </c>
      <c r="D213" s="2">
        <v>0</v>
      </c>
      <c r="E213" s="2">
        <v>0</v>
      </c>
      <c r="F213" s="2">
        <v>0</v>
      </c>
      <c r="G213" s="2">
        <v>0</v>
      </c>
      <c r="H213" s="2">
        <f>B177</f>
        <v>1</v>
      </c>
      <c r="I213" s="2">
        <v>0</v>
      </c>
      <c r="J213" s="2">
        <v>0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0</v>
      </c>
      <c r="AD213" s="2">
        <v>0</v>
      </c>
      <c r="AE213" s="2">
        <v>0</v>
      </c>
      <c r="AF213" s="2">
        <v>0</v>
      </c>
      <c r="AG213" s="2">
        <v>0</v>
      </c>
      <c r="AH213" s="2">
        <v>0</v>
      </c>
      <c r="AW213" s="3" t="s">
        <v>9</v>
      </c>
      <c r="AX213" s="2">
        <v>14.802062705285756</v>
      </c>
      <c r="AY213" s="2">
        <v>0</v>
      </c>
    </row>
    <row r="214" spans="1:51" x14ac:dyDescent="0.2">
      <c r="A214" s="3" t="s">
        <v>136</v>
      </c>
      <c r="B214" s="2">
        <v>0</v>
      </c>
      <c r="C214" s="2">
        <v>0</v>
      </c>
      <c r="D214" s="2">
        <v>0</v>
      </c>
      <c r="E214" s="2">
        <v>0</v>
      </c>
      <c r="F214" s="2">
        <v>0</v>
      </c>
      <c r="G214" s="2">
        <v>0</v>
      </c>
      <c r="H214" s="2">
        <v>0</v>
      </c>
      <c r="I214" s="2">
        <f>B178</f>
        <v>1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0</v>
      </c>
      <c r="AD214" s="2">
        <v>0</v>
      </c>
      <c r="AE214" s="2">
        <v>0</v>
      </c>
      <c r="AF214" s="2">
        <v>0</v>
      </c>
      <c r="AG214" s="2">
        <v>0</v>
      </c>
      <c r="AH214" s="2">
        <v>0</v>
      </c>
      <c r="AW214" s="3" t="s">
        <v>8</v>
      </c>
      <c r="AX214" s="2">
        <v>24.537243968652998</v>
      </c>
      <c r="AY214" s="2">
        <v>29.52008</v>
      </c>
    </row>
    <row r="215" spans="1:51" x14ac:dyDescent="0.2">
      <c r="A215" s="3" t="s">
        <v>137</v>
      </c>
      <c r="B215" s="2">
        <v>0</v>
      </c>
      <c r="C215" s="2">
        <v>0</v>
      </c>
      <c r="D215" s="2">
        <v>0</v>
      </c>
      <c r="E215" s="2">
        <v>0</v>
      </c>
      <c r="F215" s="2">
        <v>0</v>
      </c>
      <c r="G215" s="2">
        <v>0</v>
      </c>
      <c r="H215" s="2">
        <v>0</v>
      </c>
      <c r="I215" s="2">
        <v>0</v>
      </c>
      <c r="J215" s="2">
        <f>B179</f>
        <v>1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0</v>
      </c>
      <c r="AD215" s="2">
        <v>0</v>
      </c>
      <c r="AE215" s="2">
        <v>0</v>
      </c>
      <c r="AF215" s="2">
        <v>0</v>
      </c>
      <c r="AG215" s="2">
        <v>0</v>
      </c>
      <c r="AH215" s="2">
        <v>0</v>
      </c>
      <c r="AW215" s="3" t="s">
        <v>7</v>
      </c>
      <c r="AX215" s="2">
        <v>112.16357125293791</v>
      </c>
      <c r="AY215" s="2">
        <v>0</v>
      </c>
    </row>
    <row r="216" spans="1:51" x14ac:dyDescent="0.2">
      <c r="A216" s="3" t="s">
        <v>138</v>
      </c>
      <c r="B216" s="2">
        <v>0</v>
      </c>
      <c r="C216" s="2">
        <v>0</v>
      </c>
      <c r="D216" s="2">
        <v>0</v>
      </c>
      <c r="E216" s="2">
        <v>0</v>
      </c>
      <c r="F216" s="2">
        <v>0</v>
      </c>
      <c r="G216" s="2">
        <v>0</v>
      </c>
      <c r="H216" s="2">
        <v>0</v>
      </c>
      <c r="I216" s="2">
        <v>0</v>
      </c>
      <c r="J216" s="2">
        <v>0</v>
      </c>
      <c r="K216" s="2">
        <f>B180</f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0</v>
      </c>
      <c r="AD216" s="2">
        <v>0</v>
      </c>
      <c r="AE216" s="2">
        <v>0</v>
      </c>
      <c r="AF216" s="2">
        <v>0</v>
      </c>
      <c r="AG216" s="2">
        <v>0</v>
      </c>
      <c r="AH216" s="2">
        <v>0</v>
      </c>
      <c r="AW216" s="3" t="s">
        <v>52</v>
      </c>
      <c r="AX216" s="2">
        <v>0</v>
      </c>
      <c r="AY216" s="2">
        <v>236.16064000000083</v>
      </c>
    </row>
    <row r="217" spans="1:51" x14ac:dyDescent="0.2">
      <c r="A217" s="3" t="s">
        <v>139</v>
      </c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J217" s="2">
        <v>0</v>
      </c>
      <c r="K217" s="2">
        <v>0</v>
      </c>
      <c r="L217" s="2">
        <f>B181</f>
        <v>1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s="2">
        <v>0</v>
      </c>
      <c r="AE217" s="2">
        <v>0</v>
      </c>
      <c r="AF217" s="2">
        <v>0</v>
      </c>
      <c r="AG217" s="2">
        <v>0</v>
      </c>
      <c r="AH217" s="2">
        <v>0</v>
      </c>
      <c r="AW217" s="3" t="s">
        <v>6</v>
      </c>
      <c r="AX217" s="2">
        <v>136.50604690606468</v>
      </c>
      <c r="AY217" s="2">
        <v>0</v>
      </c>
    </row>
    <row r="218" spans="1:51" x14ac:dyDescent="0.2">
      <c r="A218" s="3" t="s">
        <v>140</v>
      </c>
      <c r="B218" s="2">
        <v>0</v>
      </c>
      <c r="C218" s="2">
        <v>0</v>
      </c>
      <c r="D218" s="2">
        <v>0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f>B182</f>
        <v>1</v>
      </c>
      <c r="N218" s="2">
        <v>0</v>
      </c>
      <c r="O218" s="2">
        <v>0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D218" s="2">
        <v>0</v>
      </c>
      <c r="AE218" s="2">
        <v>0</v>
      </c>
      <c r="AF218" s="2">
        <v>0</v>
      </c>
      <c r="AG218" s="2">
        <v>0</v>
      </c>
      <c r="AH218" s="2">
        <v>0</v>
      </c>
      <c r="AW218" s="3" t="s">
        <v>53</v>
      </c>
      <c r="AX218" s="2">
        <v>0</v>
      </c>
      <c r="AY218" s="2">
        <v>88.560239999999595</v>
      </c>
    </row>
    <row r="219" spans="1:51" x14ac:dyDescent="0.2">
      <c r="A219" s="3" t="s">
        <v>141</v>
      </c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  <c r="N219" s="2">
        <f>B183</f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0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0</v>
      </c>
      <c r="AG219" s="2">
        <v>0</v>
      </c>
      <c r="AH219" s="2">
        <v>0</v>
      </c>
      <c r="AW219" s="3" t="s">
        <v>5</v>
      </c>
      <c r="AX219" s="2">
        <v>50.162545834576086</v>
      </c>
      <c r="AY219" s="2">
        <v>0</v>
      </c>
    </row>
    <row r="220" spans="1:51" x14ac:dyDescent="0.2">
      <c r="A220" s="3" t="s">
        <v>142</v>
      </c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2">
        <f>B184</f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0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0</v>
      </c>
      <c r="AD220" s="2">
        <v>0</v>
      </c>
      <c r="AE220" s="2">
        <v>0</v>
      </c>
      <c r="AF220" s="2">
        <v>0</v>
      </c>
      <c r="AG220" s="2">
        <v>0</v>
      </c>
      <c r="AH220" s="2">
        <v>0</v>
      </c>
      <c r="AW220" s="3" t="s">
        <v>54</v>
      </c>
      <c r="AX220" s="2">
        <v>0</v>
      </c>
      <c r="AY220" s="2">
        <v>236.16063999999329</v>
      </c>
    </row>
    <row r="221" spans="1:51" x14ac:dyDescent="0.2">
      <c r="A221" s="3" t="s">
        <v>143</v>
      </c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f>B185</f>
        <v>1</v>
      </c>
      <c r="Q221" s="2">
        <v>0</v>
      </c>
      <c r="R221" s="2">
        <v>0</v>
      </c>
      <c r="S221" s="2">
        <v>0</v>
      </c>
      <c r="T221" s="2">
        <v>0</v>
      </c>
      <c r="U221" s="2">
        <v>0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0</v>
      </c>
      <c r="AD221" s="2">
        <v>0</v>
      </c>
      <c r="AE221" s="2">
        <v>0</v>
      </c>
      <c r="AF221" s="2">
        <v>0</v>
      </c>
      <c r="AG221" s="2">
        <v>0</v>
      </c>
      <c r="AH221" s="2">
        <v>0</v>
      </c>
      <c r="AW221" s="3" t="s">
        <v>4</v>
      </c>
      <c r="AX221" s="2">
        <v>166.96607390163683</v>
      </c>
      <c r="AY221" s="2">
        <v>0</v>
      </c>
    </row>
    <row r="222" spans="1:51" x14ac:dyDescent="0.2">
      <c r="A222" s="3" t="s">
        <v>144</v>
      </c>
      <c r="B222" s="2">
        <v>0</v>
      </c>
      <c r="C222" s="2">
        <v>0</v>
      </c>
      <c r="D222" s="2">
        <v>0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f>B186</f>
        <v>1</v>
      </c>
      <c r="R222" s="2">
        <v>0</v>
      </c>
      <c r="S222" s="2">
        <v>0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D222" s="2">
        <v>0</v>
      </c>
      <c r="AE222" s="2">
        <v>0</v>
      </c>
      <c r="AF222" s="2">
        <v>0</v>
      </c>
      <c r="AG222" s="2">
        <v>0</v>
      </c>
      <c r="AH222" s="2">
        <v>0</v>
      </c>
      <c r="AW222" s="3" t="s">
        <v>55</v>
      </c>
      <c r="AX222" s="2">
        <v>0</v>
      </c>
      <c r="AY222" s="2">
        <v>2697.5150451915556</v>
      </c>
    </row>
    <row r="223" spans="1:51" x14ac:dyDescent="0.2">
      <c r="A223" s="3" t="s">
        <v>145</v>
      </c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2">
        <f>B187</f>
        <v>1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0</v>
      </c>
      <c r="AD223" s="2">
        <v>0</v>
      </c>
      <c r="AE223" s="2">
        <v>0</v>
      </c>
      <c r="AF223" s="2">
        <v>0</v>
      </c>
      <c r="AG223" s="2">
        <v>0</v>
      </c>
      <c r="AH223" s="2">
        <v>0</v>
      </c>
      <c r="AW223" s="3" t="s">
        <v>56</v>
      </c>
      <c r="AX223" s="2">
        <v>0</v>
      </c>
      <c r="AY223" s="2">
        <v>9943.4394150000007</v>
      </c>
    </row>
    <row r="224" spans="1:51" x14ac:dyDescent="0.2">
      <c r="A224" s="3" t="s">
        <v>146</v>
      </c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f>B188</f>
        <v>1</v>
      </c>
      <c r="T224" s="2">
        <v>0</v>
      </c>
      <c r="U224" s="2">
        <v>0</v>
      </c>
      <c r="V224" s="2">
        <v>0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0</v>
      </c>
      <c r="AD224" s="2">
        <v>0</v>
      </c>
      <c r="AE224" s="2">
        <v>0</v>
      </c>
      <c r="AF224" s="2">
        <v>0</v>
      </c>
      <c r="AG224" s="2">
        <v>0</v>
      </c>
      <c r="AH224" s="2">
        <v>0</v>
      </c>
      <c r="AW224" s="3" t="s">
        <v>3</v>
      </c>
      <c r="AX224" s="2">
        <v>135.43251310120743</v>
      </c>
      <c r="AY224" s="2">
        <v>0</v>
      </c>
    </row>
    <row r="225" spans="1:51" x14ac:dyDescent="0.2">
      <c r="A225" s="3" t="s">
        <v>147</v>
      </c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2">
        <v>0</v>
      </c>
      <c r="S225" s="2">
        <v>0</v>
      </c>
      <c r="T225" s="2">
        <f>B189</f>
        <v>0.6450512376366534</v>
      </c>
      <c r="U225" s="2">
        <v>0</v>
      </c>
      <c r="V225" s="2">
        <v>0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D225" s="2">
        <v>0</v>
      </c>
      <c r="AE225" s="2">
        <v>0</v>
      </c>
      <c r="AF225" s="2">
        <v>0</v>
      </c>
      <c r="AG225" s="2">
        <v>0</v>
      </c>
      <c r="AH225" s="2">
        <v>0</v>
      </c>
      <c r="AW225" s="3" t="s">
        <v>57</v>
      </c>
      <c r="AX225" s="2">
        <v>5.6354468538754663</v>
      </c>
      <c r="AY225" s="2">
        <v>0</v>
      </c>
    </row>
    <row r="226" spans="1:51" x14ac:dyDescent="0.2">
      <c r="A226" s="3" t="s">
        <v>148</v>
      </c>
      <c r="B226" s="2">
        <v>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f>B190</f>
        <v>0.35494876236334655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D226" s="2">
        <v>0</v>
      </c>
      <c r="AE226" s="2">
        <v>0</v>
      </c>
      <c r="AF226" s="2">
        <v>0</v>
      </c>
      <c r="AG226" s="2">
        <v>0</v>
      </c>
      <c r="AH226" s="2">
        <v>0</v>
      </c>
      <c r="AW226" s="3" t="s">
        <v>2</v>
      </c>
      <c r="AX226" s="2">
        <v>5343.8012000000008</v>
      </c>
      <c r="AY226" s="2">
        <v>0</v>
      </c>
    </row>
    <row r="227" spans="1:51" x14ac:dyDescent="0.2">
      <c r="A227" s="3" t="s">
        <v>149</v>
      </c>
      <c r="B227" s="2">
        <v>0</v>
      </c>
      <c r="C227" s="2">
        <v>0</v>
      </c>
      <c r="D227" s="2">
        <v>0</v>
      </c>
      <c r="E227" s="2">
        <v>0</v>
      </c>
      <c r="F227" s="2">
        <v>0</v>
      </c>
      <c r="G227" s="2">
        <v>0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f>B191</f>
        <v>3.8920168631115734E-2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D227" s="2">
        <v>0</v>
      </c>
      <c r="AE227" s="2">
        <v>0</v>
      </c>
      <c r="AF227" s="2">
        <v>0</v>
      </c>
      <c r="AG227" s="2">
        <v>0</v>
      </c>
      <c r="AH227" s="2">
        <v>0</v>
      </c>
      <c r="AW227" s="3" t="s">
        <v>58</v>
      </c>
      <c r="AX227" s="2">
        <v>0</v>
      </c>
      <c r="AY227" s="2">
        <v>754.97501244886678</v>
      </c>
    </row>
    <row r="228" spans="1:51" x14ac:dyDescent="0.2">
      <c r="A228" s="3" t="s">
        <v>150</v>
      </c>
      <c r="B228" s="2">
        <v>0</v>
      </c>
      <c r="C228" s="2">
        <v>0</v>
      </c>
      <c r="D228" s="2">
        <v>0</v>
      </c>
      <c r="E228" s="2">
        <v>0</v>
      </c>
      <c r="F228" s="2">
        <v>0</v>
      </c>
      <c r="G228" s="2">
        <v>0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>
        <v>0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2">
        <v>0</v>
      </c>
      <c r="W228" s="2">
        <f>B192</f>
        <v>3.892016863111615E-2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0</v>
      </c>
      <c r="AD228" s="2">
        <v>0</v>
      </c>
      <c r="AE228" s="2">
        <v>0</v>
      </c>
      <c r="AF228" s="2">
        <v>0</v>
      </c>
      <c r="AG228" s="2">
        <v>0</v>
      </c>
      <c r="AH228" s="2">
        <v>0</v>
      </c>
      <c r="AW228" s="3" t="s">
        <v>59</v>
      </c>
      <c r="AX228" s="2">
        <v>0</v>
      </c>
      <c r="AY228" s="2">
        <v>9943.4394150000007</v>
      </c>
    </row>
    <row r="229" spans="1:51" x14ac:dyDescent="0.2">
      <c r="A229" s="3" t="s">
        <v>151</v>
      </c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0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0</v>
      </c>
      <c r="W229" s="2">
        <v>0</v>
      </c>
      <c r="X229" s="2">
        <f>B193</f>
        <v>3.8920168631116379E-2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D229" s="2">
        <v>0</v>
      </c>
      <c r="AE229" s="2">
        <v>0</v>
      </c>
      <c r="AF229" s="2">
        <v>0</v>
      </c>
      <c r="AG229" s="2">
        <v>0</v>
      </c>
      <c r="AH229" s="2">
        <v>0</v>
      </c>
      <c r="AW229" s="3" t="s">
        <v>1</v>
      </c>
      <c r="AX229" s="2">
        <v>1525.0000770285194</v>
      </c>
      <c r="AY229" s="2">
        <v>0</v>
      </c>
    </row>
    <row r="230" spans="1:51" x14ac:dyDescent="0.2">
      <c r="A230" s="3" t="s">
        <v>152</v>
      </c>
      <c r="B230" s="2">
        <v>0</v>
      </c>
      <c r="C230" s="2">
        <v>0</v>
      </c>
      <c r="D230" s="2">
        <v>0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0</v>
      </c>
      <c r="W230" s="2">
        <v>0</v>
      </c>
      <c r="X230" s="2">
        <v>0</v>
      </c>
      <c r="Y230" s="2">
        <f>B194</f>
        <v>0.96107983136888431</v>
      </c>
      <c r="Z230" s="2">
        <v>0</v>
      </c>
      <c r="AA230" s="2">
        <v>0</v>
      </c>
      <c r="AB230" s="2">
        <v>0</v>
      </c>
      <c r="AC230" s="2">
        <v>0</v>
      </c>
      <c r="AD230" s="2">
        <v>0</v>
      </c>
      <c r="AE230" s="2">
        <v>0</v>
      </c>
      <c r="AF230" s="2">
        <v>0</v>
      </c>
      <c r="AG230" s="2">
        <v>0</v>
      </c>
      <c r="AH230" s="2">
        <v>0</v>
      </c>
      <c r="AW230" s="3" t="s">
        <v>60</v>
      </c>
      <c r="AX230" s="2">
        <v>0</v>
      </c>
      <c r="AY230" s="2">
        <v>193.40884235955556</v>
      </c>
    </row>
    <row r="231" spans="1:51" x14ac:dyDescent="0.2">
      <c r="A231" s="3" t="s">
        <v>153</v>
      </c>
      <c r="B231" s="2">
        <v>0</v>
      </c>
      <c r="C231" s="2">
        <v>0</v>
      </c>
      <c r="D231" s="2">
        <v>0</v>
      </c>
      <c r="E231" s="2">
        <v>0</v>
      </c>
      <c r="F231" s="2">
        <v>0</v>
      </c>
      <c r="G231" s="2">
        <v>0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0</v>
      </c>
      <c r="W231" s="2">
        <v>0</v>
      </c>
      <c r="X231" s="2">
        <v>0</v>
      </c>
      <c r="Y231" s="2">
        <v>0</v>
      </c>
      <c r="Z231" s="2">
        <f>B195</f>
        <v>0.96107983136888375</v>
      </c>
      <c r="AA231" s="2">
        <v>0</v>
      </c>
      <c r="AB231" s="2">
        <v>0</v>
      </c>
      <c r="AC231" s="2">
        <v>0</v>
      </c>
      <c r="AD231" s="2">
        <v>0</v>
      </c>
      <c r="AE231" s="2">
        <v>0</v>
      </c>
      <c r="AF231" s="2">
        <v>0</v>
      </c>
      <c r="AG231" s="2">
        <v>0</v>
      </c>
      <c r="AH231" s="2">
        <v>0</v>
      </c>
      <c r="AW231" s="3" t="s">
        <v>61</v>
      </c>
      <c r="AX231" s="2">
        <v>0</v>
      </c>
      <c r="AY231" s="2">
        <v>46402.717270000001</v>
      </c>
    </row>
    <row r="232" spans="1:51" x14ac:dyDescent="0.2">
      <c r="A232" s="3" t="s">
        <v>154</v>
      </c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W232" s="2">
        <v>0</v>
      </c>
      <c r="X232" s="2">
        <v>0</v>
      </c>
      <c r="Y232" s="2">
        <v>0</v>
      </c>
      <c r="Z232" s="2">
        <v>0</v>
      </c>
      <c r="AA232" s="2">
        <f>B196</f>
        <v>0.96107983136888364</v>
      </c>
      <c r="AB232" s="2">
        <v>0</v>
      </c>
      <c r="AC232" s="2">
        <v>0</v>
      </c>
      <c r="AD232" s="2">
        <v>0</v>
      </c>
      <c r="AE232" s="2">
        <v>0</v>
      </c>
      <c r="AF232" s="2">
        <v>0</v>
      </c>
      <c r="AG232" s="2">
        <v>0</v>
      </c>
      <c r="AH232" s="2">
        <v>0</v>
      </c>
      <c r="AW232" s="3" t="s">
        <v>0</v>
      </c>
      <c r="AX232" s="2">
        <v>3.6664847309481892</v>
      </c>
      <c r="AY232" s="2">
        <v>0</v>
      </c>
    </row>
    <row r="233" spans="1:51" x14ac:dyDescent="0.2">
      <c r="A233" s="3" t="s">
        <v>157</v>
      </c>
      <c r="B233" s="2">
        <v>0</v>
      </c>
      <c r="C233" s="2">
        <v>0</v>
      </c>
      <c r="D233" s="2">
        <v>0</v>
      </c>
      <c r="E233" s="2">
        <v>0</v>
      </c>
      <c r="F233" s="2">
        <v>0</v>
      </c>
      <c r="G233" s="2">
        <v>0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f>B197</f>
        <v>1</v>
      </c>
      <c r="AC233" s="2">
        <v>0</v>
      </c>
      <c r="AD233" s="2">
        <v>0</v>
      </c>
      <c r="AE233" s="2">
        <v>0</v>
      </c>
      <c r="AF233" s="2">
        <v>0</v>
      </c>
      <c r="AG233" s="2">
        <v>0</v>
      </c>
      <c r="AH233" s="2">
        <v>0</v>
      </c>
      <c r="AX233" s="7" t="s">
        <v>165</v>
      </c>
      <c r="AY233" s="7"/>
    </row>
    <row r="234" spans="1:51" x14ac:dyDescent="0.2">
      <c r="A234" s="3" t="s">
        <v>158</v>
      </c>
      <c r="B234" s="2">
        <v>0</v>
      </c>
      <c r="C234" s="2">
        <v>0</v>
      </c>
      <c r="D234" s="2">
        <v>0</v>
      </c>
      <c r="E234" s="2">
        <v>0</v>
      </c>
      <c r="F234" s="2">
        <v>0</v>
      </c>
      <c r="G234" s="2">
        <v>0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f>B198</f>
        <v>1</v>
      </c>
      <c r="AD234" s="2">
        <v>0</v>
      </c>
      <c r="AE234" s="2">
        <v>0</v>
      </c>
      <c r="AF234" s="2">
        <v>0</v>
      </c>
      <c r="AG234" s="2">
        <v>0</v>
      </c>
      <c r="AH234" s="2">
        <v>0</v>
      </c>
    </row>
    <row r="235" spans="1:51" x14ac:dyDescent="0.2">
      <c r="A235" s="3" t="s">
        <v>159</v>
      </c>
      <c r="B235" s="2">
        <v>0</v>
      </c>
      <c r="C235" s="2">
        <v>0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0</v>
      </c>
      <c r="AD235" s="2">
        <f>B199</f>
        <v>1</v>
      </c>
      <c r="AE235" s="2">
        <v>0</v>
      </c>
      <c r="AF235" s="2">
        <v>0</v>
      </c>
      <c r="AG235" s="2">
        <v>0</v>
      </c>
      <c r="AH235" s="2">
        <v>0</v>
      </c>
    </row>
    <row r="236" spans="1:51" x14ac:dyDescent="0.2">
      <c r="A236" s="3" t="s">
        <v>155</v>
      </c>
      <c r="B236" s="2">
        <v>0</v>
      </c>
      <c r="C236" s="2">
        <v>0</v>
      </c>
      <c r="D236" s="2">
        <v>0</v>
      </c>
      <c r="E236" s="2">
        <v>0</v>
      </c>
      <c r="F236" s="2">
        <v>0</v>
      </c>
      <c r="G236" s="2">
        <v>0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</v>
      </c>
      <c r="N236" s="2">
        <v>0</v>
      </c>
      <c r="O236" s="2">
        <v>0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0</v>
      </c>
      <c r="AD236" s="2">
        <v>0</v>
      </c>
      <c r="AE236" s="2">
        <f>B200</f>
        <v>0.92473030017450952</v>
      </c>
      <c r="AF236" s="2">
        <v>0</v>
      </c>
      <c r="AG236" s="2">
        <v>0</v>
      </c>
      <c r="AH236" s="2">
        <v>0</v>
      </c>
    </row>
    <row r="237" spans="1:51" x14ac:dyDescent="0.2">
      <c r="A237" s="3" t="s">
        <v>156</v>
      </c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0</v>
      </c>
      <c r="AD237" s="2">
        <v>0</v>
      </c>
      <c r="AE237" s="2">
        <v>0</v>
      </c>
      <c r="AF237" s="2">
        <f>B201</f>
        <v>0.92473030017450952</v>
      </c>
      <c r="AG237" s="2">
        <v>0</v>
      </c>
      <c r="AH237" s="2">
        <v>0</v>
      </c>
    </row>
    <row r="238" spans="1:51" x14ac:dyDescent="0.2">
      <c r="A238" s="3" t="s">
        <v>160</v>
      </c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D238" s="2">
        <v>0</v>
      </c>
      <c r="AE238" s="2">
        <v>0</v>
      </c>
      <c r="AF238" s="2">
        <v>0</v>
      </c>
      <c r="AG238" s="2">
        <f>B202</f>
        <v>1</v>
      </c>
      <c r="AH238" s="2">
        <v>0</v>
      </c>
    </row>
    <row r="239" spans="1:51" x14ac:dyDescent="0.2">
      <c r="A239" s="3" t="s">
        <v>161</v>
      </c>
      <c r="B239" s="2">
        <v>0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0</v>
      </c>
      <c r="AD239" s="2">
        <v>0</v>
      </c>
      <c r="AE239" s="2">
        <v>0</v>
      </c>
      <c r="AF239" s="2">
        <v>0</v>
      </c>
      <c r="AG239" s="2">
        <v>0</v>
      </c>
      <c r="AH239" s="2">
        <f>B203</f>
        <v>0.92473030017450963</v>
      </c>
    </row>
    <row r="242" spans="1:57" x14ac:dyDescent="0.2">
      <c r="F242" t="s">
        <v>163</v>
      </c>
    </row>
    <row r="243" spans="1:57" ht="244" x14ac:dyDescent="0.2">
      <c r="B243" s="4" t="s">
        <v>14</v>
      </c>
      <c r="C243" s="4" t="s">
        <v>13</v>
      </c>
      <c r="D243" s="4" t="s">
        <v>12</v>
      </c>
      <c r="E243" s="4" t="s">
        <v>87</v>
      </c>
      <c r="F243" s="4" t="s">
        <v>11</v>
      </c>
      <c r="G243" s="4" t="s">
        <v>10</v>
      </c>
      <c r="H243" s="4" t="s">
        <v>9</v>
      </c>
      <c r="I243" s="4" t="s">
        <v>8</v>
      </c>
      <c r="J243" s="4" t="s">
        <v>7</v>
      </c>
      <c r="K243" s="4" t="s">
        <v>52</v>
      </c>
      <c r="L243" s="4" t="s">
        <v>6</v>
      </c>
      <c r="M243" s="4" t="s">
        <v>53</v>
      </c>
      <c r="N243" s="4" t="s">
        <v>5</v>
      </c>
      <c r="O243" s="4" t="s">
        <v>54</v>
      </c>
      <c r="P243" s="4" t="s">
        <v>4</v>
      </c>
      <c r="Q243" s="4" t="s">
        <v>55</v>
      </c>
      <c r="R243" s="4" t="s">
        <v>56</v>
      </c>
      <c r="S243" s="4" t="s">
        <v>3</v>
      </c>
      <c r="T243" s="4" t="s">
        <v>57</v>
      </c>
      <c r="U243" s="4" t="s">
        <v>2</v>
      </c>
      <c r="V243" s="4" t="s">
        <v>58</v>
      </c>
      <c r="W243" s="4" t="s">
        <v>59</v>
      </c>
      <c r="X243" s="4" t="s">
        <v>1</v>
      </c>
      <c r="Y243" s="4" t="s">
        <v>60</v>
      </c>
      <c r="Z243" s="4" t="s">
        <v>61</v>
      </c>
      <c r="AA243" s="4" t="s">
        <v>0</v>
      </c>
      <c r="AB243" s="4"/>
      <c r="AC243" s="4"/>
      <c r="AD243" s="4"/>
      <c r="AE243" s="4"/>
      <c r="AF243" s="4"/>
      <c r="AG243" s="4"/>
      <c r="AH243" s="4"/>
      <c r="BD243" s="4" t="s">
        <v>42</v>
      </c>
      <c r="BE243" s="4" t="s">
        <v>40</v>
      </c>
    </row>
    <row r="244" spans="1:57" x14ac:dyDescent="0.2">
      <c r="A244" s="3" t="s">
        <v>129</v>
      </c>
      <c r="B244" s="2">
        <v>0</v>
      </c>
      <c r="C244" s="2">
        <v>0</v>
      </c>
      <c r="D244" s="2">
        <v>0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f>B207</f>
        <v>7.5269699825490408E-2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2">
        <v>0</v>
      </c>
      <c r="Y244" s="2">
        <v>0</v>
      </c>
      <c r="Z244" s="2">
        <v>0</v>
      </c>
      <c r="AA244" s="2">
        <v>0</v>
      </c>
      <c r="BC244" s="3" t="s">
        <v>129</v>
      </c>
      <c r="BD244" s="9" cm="1">
        <f t="array" ref="BD244:BE276">MMULT(B244:AA276, AX207:AY232)</f>
        <v>0</v>
      </c>
      <c r="BE244" s="9">
        <v>748.43970000000002</v>
      </c>
    </row>
    <row r="245" spans="1:57" x14ac:dyDescent="0.2">
      <c r="A245" s="3" t="s">
        <v>130</v>
      </c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0</v>
      </c>
      <c r="I245" s="2">
        <v>0</v>
      </c>
      <c r="J245" s="2">
        <v>0</v>
      </c>
      <c r="K245" s="2">
        <v>0</v>
      </c>
      <c r="L245" s="2">
        <v>0</v>
      </c>
      <c r="M245" s="2">
        <v>0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f>C208</f>
        <v>7.5269699825490408E-2</v>
      </c>
      <c r="X245" s="2">
        <v>0</v>
      </c>
      <c r="Y245" s="2">
        <v>0</v>
      </c>
      <c r="Z245" s="2">
        <v>0</v>
      </c>
      <c r="AA245" s="2">
        <v>0</v>
      </c>
      <c r="BC245" s="3" t="s">
        <v>130</v>
      </c>
      <c r="BD245" s="9">
        <v>0</v>
      </c>
      <c r="BE245" s="9">
        <v>748.43970000000002</v>
      </c>
    </row>
    <row r="246" spans="1:57" x14ac:dyDescent="0.2">
      <c r="A246" s="3" t="s">
        <v>131</v>
      </c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2">
        <v>0</v>
      </c>
      <c r="Y246" s="2">
        <v>0</v>
      </c>
      <c r="Z246" s="2">
        <f>D209</f>
        <v>7.5269699825490421E-2</v>
      </c>
      <c r="AA246" s="2">
        <v>0</v>
      </c>
      <c r="BC246" s="3" t="s">
        <v>131</v>
      </c>
      <c r="BD246" s="9">
        <v>0</v>
      </c>
      <c r="BE246" s="9">
        <v>3492.7186000000006</v>
      </c>
    </row>
    <row r="247" spans="1:57" x14ac:dyDescent="0.2">
      <c r="A247" s="3" t="s">
        <v>132</v>
      </c>
      <c r="B247" s="2">
        <v>1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BC247" s="3" t="s">
        <v>132</v>
      </c>
      <c r="BD247" s="9">
        <v>88.712840796490241</v>
      </c>
      <c r="BE247" s="9">
        <v>0</v>
      </c>
    </row>
    <row r="248" spans="1:57" x14ac:dyDescent="0.2">
      <c r="A248" s="3" t="s">
        <v>133</v>
      </c>
      <c r="B248" s="2">
        <v>0</v>
      </c>
      <c r="C248" s="2">
        <v>1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2">
        <v>0</v>
      </c>
      <c r="Y248" s="2">
        <v>0</v>
      </c>
      <c r="Z248" s="2">
        <v>0</v>
      </c>
      <c r="AA248" s="2">
        <v>0</v>
      </c>
      <c r="BC248" s="3" t="s">
        <v>133</v>
      </c>
      <c r="BD248" s="9">
        <v>41.538696971306592</v>
      </c>
      <c r="BE248" s="9">
        <v>0</v>
      </c>
    </row>
    <row r="249" spans="1:57" x14ac:dyDescent="0.2">
      <c r="A249" s="3" t="s">
        <v>134</v>
      </c>
      <c r="B249" s="2">
        <v>0</v>
      </c>
      <c r="C249" s="2">
        <v>0</v>
      </c>
      <c r="D249" s="2">
        <v>0</v>
      </c>
      <c r="E249" s="2">
        <v>0</v>
      </c>
      <c r="F249" s="2">
        <v>1</v>
      </c>
      <c r="G249" s="2">
        <v>0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2">
        <v>0</v>
      </c>
      <c r="Y249" s="2">
        <v>0</v>
      </c>
      <c r="Z249" s="2">
        <v>0</v>
      </c>
      <c r="AA249" s="2">
        <v>0</v>
      </c>
      <c r="BC249" s="3" t="s">
        <v>134</v>
      </c>
      <c r="BD249" s="9">
        <v>137.87847297700469</v>
      </c>
      <c r="BE249" s="9">
        <v>0</v>
      </c>
    </row>
    <row r="250" spans="1:57" x14ac:dyDescent="0.2">
      <c r="A250" s="3" t="s">
        <v>135</v>
      </c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1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BC250" s="3" t="s">
        <v>135</v>
      </c>
      <c r="BD250" s="9">
        <v>14.802062705285756</v>
      </c>
      <c r="BE250" s="9">
        <v>0</v>
      </c>
    </row>
    <row r="251" spans="1:57" x14ac:dyDescent="0.2">
      <c r="A251" s="3" t="s">
        <v>136</v>
      </c>
      <c r="B251" s="2">
        <v>0</v>
      </c>
      <c r="C251" s="2">
        <v>0</v>
      </c>
      <c r="D251" s="2">
        <v>0</v>
      </c>
      <c r="E251" s="2">
        <v>0</v>
      </c>
      <c r="F251" s="2">
        <v>0</v>
      </c>
      <c r="G251" s="2">
        <v>0</v>
      </c>
      <c r="H251" s="2">
        <v>0</v>
      </c>
      <c r="I251" s="2">
        <v>1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BC251" s="3" t="s">
        <v>136</v>
      </c>
      <c r="BD251" s="9">
        <v>24.537243968652998</v>
      </c>
      <c r="BE251" s="9">
        <v>29.52008</v>
      </c>
    </row>
    <row r="252" spans="1:57" x14ac:dyDescent="0.2">
      <c r="A252" s="3" t="s">
        <v>137</v>
      </c>
      <c r="B252" s="2">
        <v>0</v>
      </c>
      <c r="C252" s="2">
        <v>0</v>
      </c>
      <c r="D252" s="2">
        <v>0</v>
      </c>
      <c r="E252" s="2">
        <v>0</v>
      </c>
      <c r="F252" s="2">
        <v>0</v>
      </c>
      <c r="G252" s="2">
        <v>0</v>
      </c>
      <c r="H252" s="2">
        <v>0</v>
      </c>
      <c r="I252" s="2">
        <v>0</v>
      </c>
      <c r="J252" s="2">
        <v>1</v>
      </c>
      <c r="K252" s="2">
        <v>0</v>
      </c>
      <c r="L252" s="2">
        <v>0</v>
      </c>
      <c r="M252" s="2">
        <v>0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BC252" s="3" t="s">
        <v>137</v>
      </c>
      <c r="BD252" s="9">
        <v>112.16357125293791</v>
      </c>
      <c r="BE252" s="9">
        <v>0</v>
      </c>
    </row>
    <row r="253" spans="1:57" x14ac:dyDescent="0.2">
      <c r="A253" s="3" t="s">
        <v>138</v>
      </c>
      <c r="B253" s="2">
        <v>0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1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BC253" s="3" t="s">
        <v>138</v>
      </c>
      <c r="BD253" s="9">
        <v>0</v>
      </c>
      <c r="BE253" s="9">
        <v>236.16064000000083</v>
      </c>
    </row>
    <row r="254" spans="1:57" x14ac:dyDescent="0.2">
      <c r="A254" s="3" t="s">
        <v>139</v>
      </c>
      <c r="B254" s="2">
        <v>0</v>
      </c>
      <c r="C254" s="2">
        <v>0</v>
      </c>
      <c r="D254" s="2">
        <v>0</v>
      </c>
      <c r="E254" s="2">
        <v>0</v>
      </c>
      <c r="F254" s="2">
        <v>0</v>
      </c>
      <c r="G254" s="2">
        <v>0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BC254" s="3" t="s">
        <v>139</v>
      </c>
      <c r="BD254" s="9">
        <v>136.50604690606468</v>
      </c>
      <c r="BE254" s="9">
        <v>0</v>
      </c>
    </row>
    <row r="255" spans="1:57" x14ac:dyDescent="0.2">
      <c r="A255" s="3" t="s">
        <v>140</v>
      </c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2">
        <v>0</v>
      </c>
      <c r="Y255" s="2">
        <v>0</v>
      </c>
      <c r="Z255" s="2">
        <v>0</v>
      </c>
      <c r="AA255" s="2">
        <v>0</v>
      </c>
      <c r="BC255" s="3" t="s">
        <v>140</v>
      </c>
      <c r="BD255" s="9">
        <v>0</v>
      </c>
      <c r="BE255" s="9">
        <v>88.560239999999595</v>
      </c>
    </row>
    <row r="256" spans="1:57" x14ac:dyDescent="0.2">
      <c r="A256" s="3" t="s">
        <v>141</v>
      </c>
      <c r="B256" s="2">
        <v>0</v>
      </c>
      <c r="C256" s="2">
        <v>0</v>
      </c>
      <c r="D256" s="2">
        <v>0</v>
      </c>
      <c r="E256" s="2">
        <v>0</v>
      </c>
      <c r="F256" s="2">
        <v>0</v>
      </c>
      <c r="G256" s="2">
        <v>0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  <c r="N256" s="2">
        <v>1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2">
        <v>0</v>
      </c>
      <c r="Y256" s="2">
        <v>0</v>
      </c>
      <c r="Z256" s="2">
        <v>0</v>
      </c>
      <c r="AA256" s="2">
        <v>0</v>
      </c>
      <c r="BC256" s="3" t="s">
        <v>141</v>
      </c>
      <c r="BD256" s="9">
        <v>50.162545834576086</v>
      </c>
      <c r="BE256" s="9">
        <v>0</v>
      </c>
    </row>
    <row r="257" spans="1:74" x14ac:dyDescent="0.2">
      <c r="A257" s="3" t="s">
        <v>142</v>
      </c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</v>
      </c>
      <c r="N257" s="2">
        <v>0</v>
      </c>
      <c r="O257" s="2">
        <v>1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2">
        <v>0</v>
      </c>
      <c r="Y257" s="2">
        <v>0</v>
      </c>
      <c r="Z257" s="2">
        <v>0</v>
      </c>
      <c r="AA257" s="2">
        <v>0</v>
      </c>
      <c r="BC257" s="3" t="s">
        <v>142</v>
      </c>
      <c r="BD257" s="9">
        <v>0</v>
      </c>
      <c r="BE257" s="9">
        <v>236.16063999999329</v>
      </c>
    </row>
    <row r="258" spans="1:74" x14ac:dyDescent="0.2">
      <c r="A258" s="3" t="s">
        <v>143</v>
      </c>
      <c r="B258" s="2">
        <v>0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1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2">
        <v>0</v>
      </c>
      <c r="Y258" s="2">
        <v>0</v>
      </c>
      <c r="Z258" s="2">
        <v>0</v>
      </c>
      <c r="AA258" s="2">
        <v>0</v>
      </c>
      <c r="BC258" s="3" t="s">
        <v>143</v>
      </c>
      <c r="BD258" s="9">
        <v>166.96607390163683</v>
      </c>
      <c r="BE258" s="9">
        <v>0</v>
      </c>
    </row>
    <row r="259" spans="1:74" x14ac:dyDescent="0.2">
      <c r="A259" s="3" t="s">
        <v>144</v>
      </c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1</v>
      </c>
      <c r="T259" s="2">
        <v>0</v>
      </c>
      <c r="U259" s="2">
        <v>0</v>
      </c>
      <c r="V259" s="2">
        <v>0</v>
      </c>
      <c r="W259" s="2">
        <v>0</v>
      </c>
      <c r="X259" s="2">
        <v>0</v>
      </c>
      <c r="Y259" s="2">
        <v>0</v>
      </c>
      <c r="Z259" s="2">
        <v>0</v>
      </c>
      <c r="AA259" s="2">
        <v>0</v>
      </c>
      <c r="BC259" s="3" t="s">
        <v>144</v>
      </c>
      <c r="BD259" s="9">
        <v>135.43251310120743</v>
      </c>
      <c r="BE259" s="9">
        <v>0</v>
      </c>
    </row>
    <row r="260" spans="1:74" x14ac:dyDescent="0.2">
      <c r="A260" s="3" t="s">
        <v>145</v>
      </c>
      <c r="B260" s="2">
        <v>0</v>
      </c>
      <c r="C260" s="2">
        <v>0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1</v>
      </c>
      <c r="U260" s="2">
        <v>0</v>
      </c>
      <c r="V260" s="2">
        <v>0</v>
      </c>
      <c r="W260" s="2">
        <v>0</v>
      </c>
      <c r="X260" s="2">
        <v>0</v>
      </c>
      <c r="Y260" s="2">
        <v>0</v>
      </c>
      <c r="Z260" s="2">
        <v>0</v>
      </c>
      <c r="AA260" s="2">
        <v>0</v>
      </c>
      <c r="BC260" s="3" t="s">
        <v>145</v>
      </c>
      <c r="BD260" s="9">
        <v>5.6354468538754663</v>
      </c>
      <c r="BE260" s="9">
        <v>0</v>
      </c>
    </row>
    <row r="261" spans="1:74" x14ac:dyDescent="0.2">
      <c r="A261" s="3" t="s">
        <v>146</v>
      </c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2">
        <v>0</v>
      </c>
      <c r="Y261" s="2">
        <v>0</v>
      </c>
      <c r="Z261" s="2">
        <v>0</v>
      </c>
      <c r="AA261" s="2">
        <v>1</v>
      </c>
      <c r="BC261" s="3" t="s">
        <v>146</v>
      </c>
      <c r="BD261" s="9">
        <v>3.6664847309481892</v>
      </c>
      <c r="BE261" s="9">
        <v>0</v>
      </c>
    </row>
    <row r="262" spans="1:74" x14ac:dyDescent="0.2">
      <c r="A262" s="3" t="s">
        <v>147</v>
      </c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f>T225</f>
        <v>0.6450512376366534</v>
      </c>
      <c r="V262" s="2">
        <v>0</v>
      </c>
      <c r="W262" s="2">
        <v>0</v>
      </c>
      <c r="X262" s="2">
        <v>0</v>
      </c>
      <c r="Y262" s="2">
        <v>0</v>
      </c>
      <c r="Z262" s="2">
        <v>0</v>
      </c>
      <c r="AA262" s="2">
        <v>0</v>
      </c>
      <c r="BC262" s="3" t="s">
        <v>147</v>
      </c>
      <c r="BD262" s="9">
        <v>3447.0255777442339</v>
      </c>
      <c r="BE262" s="9">
        <v>0</v>
      </c>
    </row>
    <row r="263" spans="1:74" x14ac:dyDescent="0.2">
      <c r="A263" s="3" t="s">
        <v>148</v>
      </c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f>U226</f>
        <v>0.35494876236334655</v>
      </c>
      <c r="V263" s="2">
        <v>0</v>
      </c>
      <c r="W263" s="2">
        <v>0</v>
      </c>
      <c r="X263" s="2">
        <v>0</v>
      </c>
      <c r="Y263" s="2">
        <v>0</v>
      </c>
      <c r="Z263" s="2">
        <v>0</v>
      </c>
      <c r="AA263" s="2">
        <v>0</v>
      </c>
      <c r="BC263" s="3" t="s">
        <v>148</v>
      </c>
      <c r="BD263" s="9">
        <v>1896.7756222557664</v>
      </c>
      <c r="BE263" s="9">
        <v>0</v>
      </c>
    </row>
    <row r="264" spans="1:74" x14ac:dyDescent="0.2">
      <c r="A264" s="3" t="s">
        <v>149</v>
      </c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0</v>
      </c>
      <c r="Q264" s="2">
        <f>V227</f>
        <v>3.8920168631115734E-2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2">
        <v>0</v>
      </c>
      <c r="Y264" s="2">
        <v>0</v>
      </c>
      <c r="Z264" s="2">
        <v>0</v>
      </c>
      <c r="AA264" s="2">
        <v>0</v>
      </c>
      <c r="BC264" s="3" t="s">
        <v>149</v>
      </c>
      <c r="BD264" s="9">
        <v>0</v>
      </c>
      <c r="BE264" s="9">
        <v>104.98774044382712</v>
      </c>
    </row>
    <row r="265" spans="1:74" x14ac:dyDescent="0.2">
      <c r="A265" s="3" t="s">
        <v>150</v>
      </c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f>W228</f>
        <v>3.892016863111615E-2</v>
      </c>
      <c r="W265" s="2">
        <v>0</v>
      </c>
      <c r="X265" s="2">
        <v>0</v>
      </c>
      <c r="Y265" s="2">
        <v>0</v>
      </c>
      <c r="Z265" s="2">
        <v>0</v>
      </c>
      <c r="AA265" s="2">
        <v>0</v>
      </c>
      <c r="BC265" s="3" t="s">
        <v>150</v>
      </c>
      <c r="BD265" s="9">
        <v>0</v>
      </c>
      <c r="BE265" s="9">
        <v>29.38375479678891</v>
      </c>
    </row>
    <row r="266" spans="1:74" x14ac:dyDescent="0.2">
      <c r="A266" s="3" t="s">
        <v>151</v>
      </c>
      <c r="B266" s="2">
        <v>0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f>X229</f>
        <v>3.8920168631116379E-2</v>
      </c>
      <c r="Z266" s="2">
        <v>0</v>
      </c>
      <c r="AA266" s="2">
        <v>0</v>
      </c>
      <c r="BC266" s="3" t="s">
        <v>151</v>
      </c>
      <c r="BD266" s="9">
        <v>0</v>
      </c>
      <c r="BE266" s="9">
        <v>7.5275047593829072</v>
      </c>
    </row>
    <row r="267" spans="1:74" x14ac:dyDescent="0.2">
      <c r="A267" s="3" t="s">
        <v>152</v>
      </c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</v>
      </c>
      <c r="N267" s="2">
        <v>0</v>
      </c>
      <c r="O267" s="2">
        <v>0</v>
      </c>
      <c r="P267" s="2">
        <v>0</v>
      </c>
      <c r="Q267" s="2">
        <f>Y230</f>
        <v>0.96107983136888431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2">
        <v>0</v>
      </c>
      <c r="Y267" s="2">
        <v>0</v>
      </c>
      <c r="Z267" s="2">
        <v>0</v>
      </c>
      <c r="AA267" s="2">
        <v>0</v>
      </c>
      <c r="BC267" s="3" t="s">
        <v>152</v>
      </c>
      <c r="BD267" s="9">
        <v>0</v>
      </c>
      <c r="BE267" s="9">
        <v>2592.5273047477285</v>
      </c>
    </row>
    <row r="268" spans="1:74" x14ac:dyDescent="0.2">
      <c r="A268" s="3" t="s">
        <v>153</v>
      </c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f>Z231</f>
        <v>0.96107983136888375</v>
      </c>
      <c r="W268" s="2">
        <v>0</v>
      </c>
      <c r="X268" s="2">
        <v>0</v>
      </c>
      <c r="Y268" s="2">
        <v>0</v>
      </c>
      <c r="Z268" s="2">
        <v>0</v>
      </c>
      <c r="AA268" s="2">
        <v>0</v>
      </c>
      <c r="BC268" s="3" t="s">
        <v>153</v>
      </c>
      <c r="BD268" s="9">
        <v>0</v>
      </c>
      <c r="BE268" s="9">
        <v>725.59125765207784</v>
      </c>
    </row>
    <row r="269" spans="1:74" x14ac:dyDescent="0.2">
      <c r="A269" s="3" t="s">
        <v>154</v>
      </c>
      <c r="B269" s="2">
        <v>0</v>
      </c>
      <c r="C269" s="2">
        <v>0</v>
      </c>
      <c r="D269" s="2">
        <v>0</v>
      </c>
      <c r="E269" s="2">
        <v>0</v>
      </c>
      <c r="F269" s="2">
        <v>0</v>
      </c>
      <c r="G269" s="2">
        <v>0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2">
        <v>0</v>
      </c>
      <c r="Y269" s="2">
        <f>AA232</f>
        <v>0.96107983136888364</v>
      </c>
      <c r="Z269" s="2">
        <v>0</v>
      </c>
      <c r="AA269" s="2">
        <v>0</v>
      </c>
      <c r="BC269" s="3" t="s">
        <v>154</v>
      </c>
      <c r="BD269" s="9">
        <v>0</v>
      </c>
      <c r="BE269" s="9">
        <v>185.88133760017266</v>
      </c>
    </row>
    <row r="270" spans="1:74" x14ac:dyDescent="0.2">
      <c r="A270" s="3" t="s">
        <v>157</v>
      </c>
      <c r="B270" s="2">
        <v>0</v>
      </c>
      <c r="C270" s="2">
        <v>0</v>
      </c>
      <c r="D270" s="2">
        <f>AB233</f>
        <v>1</v>
      </c>
      <c r="E270" s="2">
        <v>0</v>
      </c>
      <c r="F270" s="2">
        <v>0</v>
      </c>
      <c r="G270" s="2">
        <v>0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2">
        <v>0</v>
      </c>
      <c r="Y270" s="2">
        <v>0</v>
      </c>
      <c r="Z270" s="2">
        <v>0</v>
      </c>
      <c r="AA270" s="2">
        <v>0</v>
      </c>
      <c r="AY270" s="7"/>
      <c r="AZ270" s="7"/>
      <c r="BA270" s="7"/>
      <c r="BB270" s="7"/>
      <c r="BC270" s="3" t="s">
        <v>157</v>
      </c>
      <c r="BD270" s="9">
        <v>1524.9999939249058</v>
      </c>
      <c r="BE270" s="9">
        <v>0</v>
      </c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</row>
    <row r="271" spans="1:74" x14ac:dyDescent="0.2">
      <c r="A271" s="3" t="s">
        <v>158</v>
      </c>
      <c r="B271" s="2">
        <v>0</v>
      </c>
      <c r="C271" s="2">
        <v>0</v>
      </c>
      <c r="D271" s="2">
        <v>0</v>
      </c>
      <c r="E271" s="2">
        <f>AC234</f>
        <v>1</v>
      </c>
      <c r="F271" s="2">
        <v>0</v>
      </c>
      <c r="G271" s="2">
        <v>0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BC271" s="3" t="s">
        <v>158</v>
      </c>
      <c r="BD271" s="9">
        <v>1525.0000466202405</v>
      </c>
      <c r="BE271" s="9">
        <v>0</v>
      </c>
    </row>
    <row r="272" spans="1:74" x14ac:dyDescent="0.2">
      <c r="A272" s="3" t="s">
        <v>159</v>
      </c>
      <c r="B272" s="2">
        <v>0</v>
      </c>
      <c r="C272" s="2">
        <v>0</v>
      </c>
      <c r="D272" s="2">
        <v>0</v>
      </c>
      <c r="E272" s="2">
        <v>0</v>
      </c>
      <c r="F272" s="2">
        <v>0</v>
      </c>
      <c r="G272" s="2">
        <f>AD235</f>
        <v>1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2">
        <v>0</v>
      </c>
      <c r="Y272" s="2">
        <v>0</v>
      </c>
      <c r="Z272" s="2">
        <v>0</v>
      </c>
      <c r="AA272" s="2">
        <v>0</v>
      </c>
      <c r="BC272" s="3" t="s">
        <v>159</v>
      </c>
      <c r="BD272" s="9">
        <v>1524.9999617742108</v>
      </c>
      <c r="BE272" s="9">
        <v>0</v>
      </c>
    </row>
    <row r="273" spans="1:81" x14ac:dyDescent="0.2">
      <c r="A273" s="3" t="s">
        <v>155</v>
      </c>
      <c r="B273" s="2">
        <v>0</v>
      </c>
      <c r="C273" s="2">
        <v>0</v>
      </c>
      <c r="D273" s="2">
        <v>0</v>
      </c>
      <c r="E273" s="2">
        <v>0</v>
      </c>
      <c r="F273" s="2">
        <v>0</v>
      </c>
      <c r="G273" s="2">
        <v>0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  <c r="N273" s="2">
        <v>0</v>
      </c>
      <c r="O273" s="2">
        <v>0</v>
      </c>
      <c r="P273" s="2">
        <v>0</v>
      </c>
      <c r="Q273" s="2">
        <v>0</v>
      </c>
      <c r="R273" s="2">
        <f>AE236</f>
        <v>0.92473030017450952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2">
        <v>0</v>
      </c>
      <c r="Y273" s="2">
        <v>0</v>
      </c>
      <c r="Z273" s="2">
        <v>0</v>
      </c>
      <c r="AA273" s="2">
        <v>0</v>
      </c>
      <c r="BC273" s="3" t="s">
        <v>155</v>
      </c>
      <c r="BD273" s="9">
        <v>0</v>
      </c>
      <c r="BE273" s="9">
        <v>9194.9997149999999</v>
      </c>
    </row>
    <row r="274" spans="1:81" x14ac:dyDescent="0.2">
      <c r="A274" s="3" t="s">
        <v>156</v>
      </c>
      <c r="B274" s="2">
        <v>0</v>
      </c>
      <c r="C274" s="2">
        <v>0</v>
      </c>
      <c r="D274" s="2">
        <v>0</v>
      </c>
      <c r="E274" s="2">
        <v>0</v>
      </c>
      <c r="F274" s="2">
        <v>0</v>
      </c>
      <c r="G274" s="2">
        <v>0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f>AF237</f>
        <v>0.92473030017450952</v>
      </c>
      <c r="X274" s="2">
        <v>0</v>
      </c>
      <c r="Y274" s="2">
        <v>0</v>
      </c>
      <c r="Z274" s="2">
        <v>0</v>
      </c>
      <c r="AA274" s="2">
        <v>0</v>
      </c>
      <c r="BC274" s="3" t="s">
        <v>156</v>
      </c>
      <c r="BD274" s="9">
        <v>0</v>
      </c>
      <c r="BE274" s="9">
        <v>9194.9997149999999</v>
      </c>
    </row>
    <row r="275" spans="1:81" x14ac:dyDescent="0.2">
      <c r="A275" s="3" t="s">
        <v>160</v>
      </c>
      <c r="B275" s="2">
        <v>0</v>
      </c>
      <c r="C275" s="2">
        <v>0</v>
      </c>
      <c r="D275" s="2">
        <v>0</v>
      </c>
      <c r="E275" s="2">
        <v>0</v>
      </c>
      <c r="F275" s="2">
        <v>0</v>
      </c>
      <c r="G275" s="2">
        <v>0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2">
        <f>AG238</f>
        <v>1</v>
      </c>
      <c r="Y275" s="2">
        <v>0</v>
      </c>
      <c r="Z275" s="2">
        <v>0</v>
      </c>
      <c r="AA275" s="2">
        <v>0</v>
      </c>
      <c r="BC275" s="3" t="s">
        <v>160</v>
      </c>
      <c r="BD275" s="9">
        <v>1525.0000770285194</v>
      </c>
      <c r="BE275" s="9">
        <v>0</v>
      </c>
    </row>
    <row r="276" spans="1:81" x14ac:dyDescent="0.2">
      <c r="A276" s="3" t="s">
        <v>161</v>
      </c>
      <c r="B276" s="2">
        <v>0</v>
      </c>
      <c r="C276" s="2">
        <v>0</v>
      </c>
      <c r="D276" s="2">
        <v>0</v>
      </c>
      <c r="E276" s="2">
        <v>0</v>
      </c>
      <c r="F276" s="2">
        <v>0</v>
      </c>
      <c r="G276" s="2">
        <v>0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0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2">
        <v>0</v>
      </c>
      <c r="Y276" s="2">
        <v>0</v>
      </c>
      <c r="Z276" s="2">
        <f>AH239</f>
        <v>0.92473030017450963</v>
      </c>
      <c r="AA276" s="2">
        <v>0</v>
      </c>
      <c r="BC276" s="3" t="s">
        <v>161</v>
      </c>
      <c r="BD276" s="9">
        <v>0</v>
      </c>
      <c r="BE276" s="9">
        <v>42909.998670000001</v>
      </c>
    </row>
    <row r="277" spans="1:81" x14ac:dyDescent="0.2">
      <c r="B277" s="11" t="s">
        <v>164</v>
      </c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BD277" s="7" t="s">
        <v>166</v>
      </c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 spans="1:81" x14ac:dyDescent="0.2">
      <c r="B278" s="5" t="s">
        <v>231</v>
      </c>
    </row>
    <row r="279" spans="1:81" x14ac:dyDescent="0.2">
      <c r="B279" s="5" t="s">
        <v>38</v>
      </c>
    </row>
    <row r="280" spans="1:81" x14ac:dyDescent="0.2">
      <c r="B280" s="5" t="s">
        <v>234</v>
      </c>
      <c r="J280" t="s">
        <v>255</v>
      </c>
      <c r="BD280" t="s">
        <v>193</v>
      </c>
    </row>
    <row r="281" spans="1:81" x14ac:dyDescent="0.2">
      <c r="B281" s="5" t="s">
        <v>37</v>
      </c>
      <c r="J281" t="s">
        <v>256</v>
      </c>
    </row>
    <row r="282" spans="1:81" x14ac:dyDescent="0.2">
      <c r="B282" s="5" t="s">
        <v>36</v>
      </c>
      <c r="BD282" s="4"/>
      <c r="BE282" s="4"/>
    </row>
    <row r="283" spans="1:81" x14ac:dyDescent="0.2">
      <c r="B283" s="5" t="s">
        <v>35</v>
      </c>
      <c r="BC283" s="3" t="s">
        <v>167</v>
      </c>
      <c r="BD283" s="2">
        <f>BE244</f>
        <v>748.43970000000002</v>
      </c>
    </row>
    <row r="284" spans="1:81" x14ac:dyDescent="0.2">
      <c r="B284" s="5" t="s">
        <v>233</v>
      </c>
      <c r="BC284" s="3" t="s">
        <v>168</v>
      </c>
      <c r="BD284" s="2">
        <f>BE245</f>
        <v>748.43970000000002</v>
      </c>
    </row>
    <row r="285" spans="1:81" x14ac:dyDescent="0.2">
      <c r="BC285" s="3" t="s">
        <v>169</v>
      </c>
      <c r="BD285" s="2">
        <f>BE246</f>
        <v>3492.7186000000006</v>
      </c>
    </row>
    <row r="286" spans="1:81" x14ac:dyDescent="0.2">
      <c r="BC286" s="3" t="s">
        <v>170</v>
      </c>
      <c r="BD286" s="2">
        <f>BD247</f>
        <v>88.712840796490241</v>
      </c>
    </row>
    <row r="287" spans="1:81" x14ac:dyDescent="0.2">
      <c r="BC287" s="3" t="s">
        <v>171</v>
      </c>
      <c r="BD287" s="2">
        <f>BD248</f>
        <v>41.538696971306592</v>
      </c>
    </row>
    <row r="288" spans="1:81" x14ac:dyDescent="0.2">
      <c r="BC288" s="3" t="s">
        <v>172</v>
      </c>
      <c r="BD288" s="2">
        <f>BD249</f>
        <v>137.87847297700469</v>
      </c>
    </row>
    <row r="289" spans="55:59" x14ac:dyDescent="0.2">
      <c r="BC289" s="3" t="s">
        <v>173</v>
      </c>
      <c r="BD289" s="2">
        <f>BD250</f>
        <v>14.802062705285756</v>
      </c>
    </row>
    <row r="290" spans="55:59" x14ac:dyDescent="0.2">
      <c r="BC290" s="3" t="s">
        <v>175</v>
      </c>
      <c r="BD290" s="2">
        <f>BD251</f>
        <v>24.537243968652998</v>
      </c>
    </row>
    <row r="291" spans="55:59" x14ac:dyDescent="0.2">
      <c r="BC291" s="3" t="s">
        <v>176</v>
      </c>
      <c r="BD291" s="2">
        <f>BE251</f>
        <v>29.52008</v>
      </c>
    </row>
    <row r="292" spans="55:59" x14ac:dyDescent="0.2">
      <c r="BC292" s="3" t="s">
        <v>174</v>
      </c>
      <c r="BD292" s="2">
        <f>BD252</f>
        <v>112.16357125293791</v>
      </c>
      <c r="BG292" s="3"/>
    </row>
    <row r="293" spans="55:59" x14ac:dyDescent="0.2">
      <c r="BC293" s="3" t="s">
        <v>177</v>
      </c>
      <c r="BD293" s="2">
        <f>BE253</f>
        <v>236.16064000000083</v>
      </c>
    </row>
    <row r="294" spans="55:59" x14ac:dyDescent="0.2">
      <c r="BC294" s="3" t="s">
        <v>178</v>
      </c>
      <c r="BD294" s="2">
        <f>BD254</f>
        <v>136.50604690606468</v>
      </c>
    </row>
    <row r="295" spans="55:59" x14ac:dyDescent="0.2">
      <c r="BC295" s="3" t="s">
        <v>179</v>
      </c>
      <c r="BD295" s="2">
        <f>BE255</f>
        <v>88.560239999999595</v>
      </c>
    </row>
    <row r="296" spans="55:59" x14ac:dyDescent="0.2">
      <c r="BC296" s="3" t="s">
        <v>180</v>
      </c>
      <c r="BD296" s="2">
        <f>BD256</f>
        <v>50.162545834576086</v>
      </c>
    </row>
    <row r="297" spans="55:59" x14ac:dyDescent="0.2">
      <c r="BC297" s="3" t="s">
        <v>181</v>
      </c>
      <c r="BD297" s="2">
        <f>BE257</f>
        <v>236.16063999999329</v>
      </c>
    </row>
    <row r="298" spans="55:59" x14ac:dyDescent="0.2">
      <c r="BC298" s="3" t="s">
        <v>182</v>
      </c>
      <c r="BD298" s="2">
        <f>BD258</f>
        <v>166.96607390163683</v>
      </c>
    </row>
    <row r="299" spans="55:59" x14ac:dyDescent="0.2">
      <c r="BC299" s="3" t="s">
        <v>183</v>
      </c>
      <c r="BD299" s="2">
        <f>BD259</f>
        <v>135.43251310120743</v>
      </c>
    </row>
    <row r="300" spans="55:59" x14ac:dyDescent="0.2">
      <c r="BC300" s="3" t="s">
        <v>184</v>
      </c>
      <c r="BD300" s="2">
        <f t="shared" ref="BD300:BD303" si="34">BD260</f>
        <v>5.6354468538754663</v>
      </c>
    </row>
    <row r="301" spans="55:59" x14ac:dyDescent="0.2">
      <c r="BC301" s="3" t="s">
        <v>185</v>
      </c>
      <c r="BD301" s="2">
        <f t="shared" si="34"/>
        <v>3.6664847309481892</v>
      </c>
    </row>
    <row r="302" spans="55:59" x14ac:dyDescent="0.2">
      <c r="BC302" s="3" t="s">
        <v>186</v>
      </c>
      <c r="BD302" s="2">
        <f t="shared" si="34"/>
        <v>3447.0255777442339</v>
      </c>
    </row>
    <row r="303" spans="55:59" x14ac:dyDescent="0.2">
      <c r="BC303" s="3" t="s">
        <v>187</v>
      </c>
      <c r="BD303" s="2">
        <f t="shared" si="34"/>
        <v>1896.7756222557664</v>
      </c>
    </row>
    <row r="304" spans="55:59" x14ac:dyDescent="0.2">
      <c r="BC304" s="3" t="s">
        <v>235</v>
      </c>
      <c r="BD304" s="2">
        <f>BE264</f>
        <v>104.98774044382712</v>
      </c>
    </row>
    <row r="305" spans="55:56" x14ac:dyDescent="0.2">
      <c r="BC305" s="3" t="s">
        <v>188</v>
      </c>
      <c r="BD305" s="2">
        <f>BE265</f>
        <v>29.38375479678891</v>
      </c>
    </row>
    <row r="306" spans="55:56" x14ac:dyDescent="0.2">
      <c r="BC306" s="3" t="s">
        <v>236</v>
      </c>
      <c r="BD306" s="2">
        <f>BE266</f>
        <v>7.5275047593829072</v>
      </c>
    </row>
    <row r="307" spans="55:56" x14ac:dyDescent="0.2">
      <c r="BC307" s="3" t="s">
        <v>237</v>
      </c>
      <c r="BD307" s="2">
        <f>BE267</f>
        <v>2592.5273047477285</v>
      </c>
    </row>
    <row r="308" spans="55:56" x14ac:dyDescent="0.2">
      <c r="BC308" s="3" t="s">
        <v>189</v>
      </c>
      <c r="BD308" s="2">
        <f>BE268</f>
        <v>725.59125765207784</v>
      </c>
    </row>
    <row r="309" spans="55:56" x14ac:dyDescent="0.2">
      <c r="BC309" s="3" t="s">
        <v>238</v>
      </c>
      <c r="BD309" s="2">
        <f>BE269</f>
        <v>185.88133760017266</v>
      </c>
    </row>
    <row r="310" spans="55:56" x14ac:dyDescent="0.2">
      <c r="BC310" s="3" t="s">
        <v>239</v>
      </c>
      <c r="BD310" s="2">
        <f>BD270</f>
        <v>1524.9999939249058</v>
      </c>
    </row>
    <row r="311" spans="55:56" x14ac:dyDescent="0.2">
      <c r="BC311" s="3" t="s">
        <v>240</v>
      </c>
      <c r="BD311" s="2">
        <f t="shared" ref="BD311:BD312" si="35">BD271</f>
        <v>1525.0000466202405</v>
      </c>
    </row>
    <row r="312" spans="55:56" x14ac:dyDescent="0.2">
      <c r="BC312" s="3" t="s">
        <v>241</v>
      </c>
      <c r="BD312" s="2">
        <f t="shared" si="35"/>
        <v>1524.9999617742108</v>
      </c>
    </row>
    <row r="313" spans="55:56" x14ac:dyDescent="0.2">
      <c r="BC313" s="3" t="s">
        <v>190</v>
      </c>
      <c r="BD313" s="2">
        <f>BE273</f>
        <v>9194.9997149999999</v>
      </c>
    </row>
    <row r="314" spans="55:56" x14ac:dyDescent="0.2">
      <c r="BC314" s="3" t="s">
        <v>191</v>
      </c>
      <c r="BD314" s="2">
        <f>BE274</f>
        <v>9194.9997149999999</v>
      </c>
    </row>
    <row r="315" spans="55:56" x14ac:dyDescent="0.2">
      <c r="BC315" s="3" t="s">
        <v>242</v>
      </c>
      <c r="BD315" s="2">
        <f>BD275</f>
        <v>1525.0000770285194</v>
      </c>
    </row>
    <row r="316" spans="55:56" x14ac:dyDescent="0.2">
      <c r="BC316" s="3" t="s">
        <v>192</v>
      </c>
      <c r="BD316" s="2">
        <f>BE276</f>
        <v>42909.998670000001</v>
      </c>
    </row>
    <row r="318" spans="55:56" x14ac:dyDescent="0.2">
      <c r="BD318" t="s">
        <v>219</v>
      </c>
    </row>
    <row r="321" spans="55:56" x14ac:dyDescent="0.2">
      <c r="BC321" s="3" t="s">
        <v>194</v>
      </c>
      <c r="BD321" s="2">
        <f>BD283</f>
        <v>748.43970000000002</v>
      </c>
    </row>
    <row r="322" spans="55:56" x14ac:dyDescent="0.2">
      <c r="BC322" s="3" t="s">
        <v>195</v>
      </c>
      <c r="BD322" s="2">
        <f>BD284</f>
        <v>748.43970000000002</v>
      </c>
    </row>
    <row r="323" spans="55:56" x14ac:dyDescent="0.2">
      <c r="BC323" s="3" t="s">
        <v>196</v>
      </c>
      <c r="BD323" s="2">
        <f>BD285</f>
        <v>3492.7186000000006</v>
      </c>
    </row>
    <row r="324" spans="55:56" x14ac:dyDescent="0.2">
      <c r="BC324" s="3" t="s">
        <v>220</v>
      </c>
      <c r="BD324" s="2">
        <f>BD286</f>
        <v>88.712840796490241</v>
      </c>
    </row>
    <row r="325" spans="55:56" x14ac:dyDescent="0.2">
      <c r="BC325" s="3" t="s">
        <v>197</v>
      </c>
      <c r="BD325" s="2">
        <f>BD287</f>
        <v>41.538696971306592</v>
      </c>
    </row>
    <row r="326" spans="55:56" x14ac:dyDescent="0.2">
      <c r="BC326" s="3" t="s">
        <v>198</v>
      </c>
      <c r="BD326" s="2">
        <f>BD288</f>
        <v>137.87847297700469</v>
      </c>
    </row>
    <row r="327" spans="55:56" x14ac:dyDescent="0.2">
      <c r="BC327" s="3" t="s">
        <v>199</v>
      </c>
      <c r="BD327" s="2">
        <f>BD289</f>
        <v>14.802062705285756</v>
      </c>
    </row>
    <row r="328" spans="55:56" x14ac:dyDescent="0.2">
      <c r="BC328" s="3" t="s">
        <v>200</v>
      </c>
      <c r="BD328" s="2">
        <f>BD290</f>
        <v>24.537243968652998</v>
      </c>
    </row>
    <row r="329" spans="55:56" x14ac:dyDescent="0.2">
      <c r="BC329" s="3" t="s">
        <v>201</v>
      </c>
      <c r="BD329" s="2">
        <f>BD291</f>
        <v>29.52008</v>
      </c>
    </row>
    <row r="330" spans="55:56" x14ac:dyDescent="0.2">
      <c r="BC330" s="3" t="s">
        <v>202</v>
      </c>
      <c r="BD330" s="2">
        <f>BD292</f>
        <v>112.16357125293791</v>
      </c>
    </row>
    <row r="331" spans="55:56" x14ac:dyDescent="0.2">
      <c r="BC331" s="3" t="s">
        <v>203</v>
      </c>
      <c r="BD331" s="2">
        <f>BD293</f>
        <v>236.16064000000083</v>
      </c>
    </row>
    <row r="332" spans="55:56" x14ac:dyDescent="0.2">
      <c r="BC332" s="3" t="s">
        <v>204</v>
      </c>
      <c r="BD332" s="2">
        <f>BD294</f>
        <v>136.50604690606468</v>
      </c>
    </row>
    <row r="333" spans="55:56" x14ac:dyDescent="0.2">
      <c r="BC333" s="3" t="s">
        <v>205</v>
      </c>
      <c r="BD333" s="2">
        <f>BD295</f>
        <v>88.560239999999595</v>
      </c>
    </row>
    <row r="334" spans="55:56" x14ac:dyDescent="0.2">
      <c r="BC334" s="3" t="s">
        <v>206</v>
      </c>
      <c r="BD334" s="2">
        <f>BD296</f>
        <v>50.162545834576086</v>
      </c>
    </row>
    <row r="335" spans="55:56" x14ac:dyDescent="0.2">
      <c r="BC335" s="3" t="s">
        <v>207</v>
      </c>
      <c r="BD335" s="2">
        <f>BD297</f>
        <v>236.16063999999329</v>
      </c>
    </row>
    <row r="336" spans="55:56" x14ac:dyDescent="0.2">
      <c r="BC336" s="3" t="s">
        <v>208</v>
      </c>
      <c r="BD336" s="2">
        <f>BD298</f>
        <v>166.96607390163683</v>
      </c>
    </row>
    <row r="337" spans="55:56" x14ac:dyDescent="0.2">
      <c r="BC337" s="3" t="s">
        <v>209</v>
      </c>
      <c r="BD337" s="2">
        <f>BD299</f>
        <v>135.43251310120743</v>
      </c>
    </row>
    <row r="338" spans="55:56" x14ac:dyDescent="0.2">
      <c r="BC338" s="3" t="s">
        <v>210</v>
      </c>
      <c r="BD338" s="2">
        <f>BD300</f>
        <v>5.6354468538754663</v>
      </c>
    </row>
    <row r="339" spans="55:56" x14ac:dyDescent="0.2">
      <c r="BC339" s="3" t="s">
        <v>211</v>
      </c>
      <c r="BD339" s="2">
        <f>BD301</f>
        <v>3.6664847309481892</v>
      </c>
    </row>
    <row r="340" spans="55:56" x14ac:dyDescent="0.2">
      <c r="BC340" s="3" t="s">
        <v>212</v>
      </c>
      <c r="BD340" s="2">
        <f>BD302</f>
        <v>3447.0255777442339</v>
      </c>
    </row>
    <row r="341" spans="55:56" x14ac:dyDescent="0.2">
      <c r="BC341" s="3" t="s">
        <v>213</v>
      </c>
      <c r="BD341" s="2">
        <f>BD303</f>
        <v>1896.7756222557664</v>
      </c>
    </row>
    <row r="342" spans="55:56" x14ac:dyDescent="0.2">
      <c r="BC342" s="3" t="s">
        <v>243</v>
      </c>
      <c r="BD342" s="2">
        <f>BD304</f>
        <v>104.98774044382712</v>
      </c>
    </row>
    <row r="343" spans="55:56" x14ac:dyDescent="0.2">
      <c r="BC343" s="3" t="s">
        <v>214</v>
      </c>
      <c r="BD343" s="2">
        <f>BD305</f>
        <v>29.38375479678891</v>
      </c>
    </row>
    <row r="344" spans="55:56" x14ac:dyDescent="0.2">
      <c r="BC344" s="3" t="s">
        <v>244</v>
      </c>
      <c r="BD344" s="2">
        <f>BD306</f>
        <v>7.5275047593829072</v>
      </c>
    </row>
    <row r="345" spans="55:56" x14ac:dyDescent="0.2">
      <c r="BC345" s="3" t="s">
        <v>245</v>
      </c>
      <c r="BD345" s="2">
        <f>BD307</f>
        <v>2592.5273047477285</v>
      </c>
    </row>
    <row r="346" spans="55:56" x14ac:dyDescent="0.2">
      <c r="BC346" s="3" t="s">
        <v>215</v>
      </c>
      <c r="BD346" s="2">
        <f>BD308</f>
        <v>725.59125765207784</v>
      </c>
    </row>
    <row r="347" spans="55:56" x14ac:dyDescent="0.2">
      <c r="BC347" s="3" t="s">
        <v>246</v>
      </c>
      <c r="BD347" s="2">
        <f>BD309</f>
        <v>185.88133760017266</v>
      </c>
    </row>
    <row r="348" spans="55:56" x14ac:dyDescent="0.2">
      <c r="BC348" s="3" t="s">
        <v>247</v>
      </c>
      <c r="BD348" s="2">
        <f>BD310</f>
        <v>1524.9999939249058</v>
      </c>
    </row>
    <row r="349" spans="55:56" x14ac:dyDescent="0.2">
      <c r="BC349" s="3" t="s">
        <v>248</v>
      </c>
      <c r="BD349" s="2">
        <f>BD311</f>
        <v>1525.0000466202405</v>
      </c>
    </row>
    <row r="350" spans="55:56" x14ac:dyDescent="0.2">
      <c r="BC350" s="3" t="s">
        <v>249</v>
      </c>
      <c r="BD350" s="2">
        <f>BD312</f>
        <v>1524.9999617742108</v>
      </c>
    </row>
    <row r="351" spans="55:56" x14ac:dyDescent="0.2">
      <c r="BC351" s="3" t="s">
        <v>216</v>
      </c>
      <c r="BD351" s="2">
        <f>BD313</f>
        <v>9194.9997149999999</v>
      </c>
    </row>
    <row r="352" spans="55:56" x14ac:dyDescent="0.2">
      <c r="BC352" s="3" t="s">
        <v>217</v>
      </c>
      <c r="BD352" s="2">
        <f>BD314</f>
        <v>9194.9997149999999</v>
      </c>
    </row>
    <row r="353" spans="55:93" x14ac:dyDescent="0.2">
      <c r="BC353" s="3" t="s">
        <v>250</v>
      </c>
      <c r="BD353" s="2">
        <f>BD315</f>
        <v>1525.0000770285194</v>
      </c>
      <c r="BJ353" s="3"/>
    </row>
    <row r="354" spans="55:93" x14ac:dyDescent="0.2">
      <c r="BC354" s="3" t="s">
        <v>218</v>
      </c>
      <c r="BD354" s="2">
        <f t="shared" ref="BD354" si="36">BD316</f>
        <v>42909.998670000001</v>
      </c>
    </row>
    <row r="356" spans="55:93" x14ac:dyDescent="0.2">
      <c r="BG356" t="s">
        <v>223</v>
      </c>
    </row>
    <row r="357" spans="55:93" ht="244" x14ac:dyDescent="0.2">
      <c r="BK357" s="4" t="s">
        <v>56</v>
      </c>
      <c r="BL357" s="4" t="s">
        <v>59</v>
      </c>
      <c r="BM357" s="4" t="s">
        <v>61</v>
      </c>
      <c r="BN357" s="4" t="s">
        <v>14</v>
      </c>
      <c r="BO357" s="4" t="s">
        <v>87</v>
      </c>
      <c r="BP357" s="4" t="s">
        <v>12</v>
      </c>
      <c r="BQ357" s="4" t="s">
        <v>13</v>
      </c>
      <c r="BR357" s="4" t="s">
        <v>11</v>
      </c>
      <c r="BS357" s="4" t="s">
        <v>9</v>
      </c>
      <c r="BT357" s="4" t="s">
        <v>8</v>
      </c>
      <c r="BU357" s="4" t="s">
        <v>7</v>
      </c>
      <c r="BV357" s="4" t="s">
        <v>52</v>
      </c>
      <c r="BW357" s="4" t="s">
        <v>6</v>
      </c>
      <c r="BX357" s="4" t="s">
        <v>53</v>
      </c>
      <c r="BY357" s="4" t="s">
        <v>5</v>
      </c>
      <c r="BZ357" s="4" t="s">
        <v>54</v>
      </c>
      <c r="CA357" s="4" t="s">
        <v>4</v>
      </c>
      <c r="CB357" s="4" t="s">
        <v>3</v>
      </c>
      <c r="CC357" s="4" t="s">
        <v>57</v>
      </c>
      <c r="CD357" s="4" t="s">
        <v>0</v>
      </c>
      <c r="CE357" s="4" t="s">
        <v>2</v>
      </c>
      <c r="CF357" s="4" t="s">
        <v>55</v>
      </c>
      <c r="CG357" s="4" t="s">
        <v>58</v>
      </c>
      <c r="CH357" s="4" t="s">
        <v>60</v>
      </c>
      <c r="CI357" s="4" t="s">
        <v>1</v>
      </c>
      <c r="CJ357" s="4" t="s">
        <v>10</v>
      </c>
      <c r="CK357" s="4" t="s">
        <v>56</v>
      </c>
      <c r="CL357" s="4" t="s">
        <v>59</v>
      </c>
      <c r="CM357" s="4" t="s">
        <v>61</v>
      </c>
    </row>
    <row r="358" spans="55:93" x14ac:dyDescent="0.2">
      <c r="BJ358" s="3" t="s">
        <v>39</v>
      </c>
      <c r="BK358" s="2">
        <f>BD321</f>
        <v>748.43970000000002</v>
      </c>
      <c r="BL358" s="2">
        <f>BD322</f>
        <v>748.43970000000002</v>
      </c>
      <c r="BM358" s="2">
        <f>BD323</f>
        <v>3492.7186000000006</v>
      </c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O358" s="2">
        <f>SUM(BK358:CM358)</f>
        <v>4989.5980000000009</v>
      </c>
    </row>
    <row r="359" spans="55:93" x14ac:dyDescent="0.2">
      <c r="BJ359" s="3" t="s">
        <v>221</v>
      </c>
      <c r="BK359" s="2"/>
      <c r="BL359" s="2"/>
      <c r="BM359" s="2"/>
      <c r="BN359" s="2">
        <f>BD324</f>
        <v>88.712840796490241</v>
      </c>
      <c r="BO359" s="2"/>
      <c r="BP359" s="2"/>
      <c r="BQ359" s="2">
        <f>BD325</f>
        <v>41.538696971306592</v>
      </c>
      <c r="BR359" s="2">
        <f>BD326</f>
        <v>137.87847297700469</v>
      </c>
      <c r="BS359" s="2">
        <f>BD327</f>
        <v>14.802062705285756</v>
      </c>
      <c r="BT359" s="2">
        <f>BD328</f>
        <v>24.537243968652998</v>
      </c>
      <c r="BU359" s="2">
        <f>BD330</f>
        <v>112.16357125293791</v>
      </c>
      <c r="BV359" s="2"/>
      <c r="BW359" s="2">
        <f>BD332</f>
        <v>136.50604690606468</v>
      </c>
      <c r="BX359" s="2"/>
      <c r="BY359" s="2">
        <f>BD334</f>
        <v>50.162545834576086</v>
      </c>
      <c r="BZ359" s="2"/>
      <c r="CA359" s="2">
        <f>BD336</f>
        <v>166.96607390163683</v>
      </c>
      <c r="CB359" s="2">
        <f>BD337</f>
        <v>135.43251310120743</v>
      </c>
      <c r="CC359" s="2">
        <f>BD338</f>
        <v>5.6354468538754663</v>
      </c>
      <c r="CD359" s="2">
        <f>BD339</f>
        <v>3.6664847309481892</v>
      </c>
      <c r="CE359" s="2"/>
      <c r="CF359" s="2"/>
      <c r="CG359" s="2"/>
      <c r="CH359" s="2"/>
      <c r="CI359" s="2"/>
      <c r="CJ359" s="2"/>
      <c r="CK359" s="2"/>
      <c r="CL359" s="2"/>
      <c r="CM359" s="2"/>
      <c r="CO359" s="2">
        <f t="shared" ref="CO359:CO366" si="37">SUM(BK359:CM359)</f>
        <v>918.00199999998699</v>
      </c>
    </row>
    <row r="360" spans="55:93" x14ac:dyDescent="0.2">
      <c r="BJ360" s="3" t="s">
        <v>222</v>
      </c>
      <c r="BK360" s="2"/>
      <c r="BL360" s="2"/>
      <c r="BM360" s="2"/>
      <c r="BN360" s="2"/>
      <c r="BO360" s="2"/>
      <c r="BP360" s="2"/>
      <c r="BQ360" s="2"/>
      <c r="BR360" s="2"/>
      <c r="BS360" s="2"/>
      <c r="BT360" s="2">
        <f>BD329</f>
        <v>29.52008</v>
      </c>
      <c r="BU360" s="2"/>
      <c r="BV360" s="2">
        <f>BD331</f>
        <v>236.16064000000083</v>
      </c>
      <c r="BW360" s="2"/>
      <c r="BX360" s="2">
        <f>BD333</f>
        <v>88.560239999999595</v>
      </c>
      <c r="BY360" s="2"/>
      <c r="BZ360" s="2">
        <f>BD335</f>
        <v>236.16063999999329</v>
      </c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O360" s="2">
        <f t="shared" si="37"/>
        <v>590.40159999999378</v>
      </c>
    </row>
    <row r="361" spans="55:93" x14ac:dyDescent="0.2">
      <c r="BJ361" s="3" t="s">
        <v>224</v>
      </c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>
        <f>BD340</f>
        <v>3447.0255777442339</v>
      </c>
      <c r="CF361" s="2"/>
      <c r="CG361" s="2"/>
      <c r="CH361" s="2"/>
      <c r="CI361" s="2"/>
      <c r="CJ361" s="2"/>
      <c r="CK361" s="2"/>
      <c r="CL361" s="2"/>
      <c r="CM361" s="2"/>
      <c r="CO361" s="2">
        <f t="shared" si="37"/>
        <v>3447.0255777442339</v>
      </c>
    </row>
    <row r="362" spans="55:93" x14ac:dyDescent="0.2">
      <c r="BJ362" s="3" t="s">
        <v>225</v>
      </c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>
        <f>BD341</f>
        <v>1896.7756222557664</v>
      </c>
      <c r="CF362" s="2"/>
      <c r="CG362" s="2"/>
      <c r="CH362" s="2"/>
      <c r="CI362" s="2"/>
      <c r="CJ362" s="2"/>
      <c r="CK362" s="2"/>
      <c r="CL362" s="2"/>
      <c r="CM362" s="2"/>
      <c r="CO362" s="2">
        <f t="shared" si="37"/>
        <v>1896.7756222557664</v>
      </c>
    </row>
    <row r="363" spans="55:93" x14ac:dyDescent="0.2">
      <c r="BJ363" s="3" t="s">
        <v>226</v>
      </c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>
        <f>BD342</f>
        <v>104.98774044382712</v>
      </c>
      <c r="CG363" s="2">
        <f>BD343</f>
        <v>29.38375479678891</v>
      </c>
      <c r="CH363" s="2">
        <f>BD344</f>
        <v>7.5275047593829072</v>
      </c>
      <c r="CI363" s="2"/>
      <c r="CJ363" s="2"/>
      <c r="CK363" s="2"/>
      <c r="CL363" s="2"/>
      <c r="CM363" s="2"/>
      <c r="CO363" s="2">
        <f t="shared" si="37"/>
        <v>141.89899999999895</v>
      </c>
    </row>
    <row r="364" spans="55:93" x14ac:dyDescent="0.2">
      <c r="BJ364" s="3" t="s">
        <v>227</v>
      </c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>
        <f>BD345</f>
        <v>2592.5273047477285</v>
      </c>
      <c r="CG364" s="2">
        <f>BD346</f>
        <v>725.59125765207784</v>
      </c>
      <c r="CH364" s="2">
        <f>BD347</f>
        <v>185.88133760017266</v>
      </c>
      <c r="CI364" s="2"/>
      <c r="CJ364" s="2"/>
      <c r="CK364" s="2"/>
      <c r="CL364" s="2"/>
      <c r="CM364" s="2"/>
      <c r="CO364" s="2">
        <f t="shared" si="37"/>
        <v>3503.9998999999789</v>
      </c>
    </row>
    <row r="365" spans="55:93" x14ac:dyDescent="0.2">
      <c r="BJ365" s="3" t="s">
        <v>228</v>
      </c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>
        <f>BD351</f>
        <v>9194.9997149999999</v>
      </c>
      <c r="CL365" s="2">
        <f>BD352</f>
        <v>9194.9997149999999</v>
      </c>
      <c r="CM365" s="2">
        <f>BD354</f>
        <v>42909.998670000001</v>
      </c>
      <c r="CO365" s="2">
        <f t="shared" si="37"/>
        <v>61299.998099999997</v>
      </c>
    </row>
    <row r="366" spans="55:93" x14ac:dyDescent="0.2">
      <c r="BJ366" s="3" t="s">
        <v>251</v>
      </c>
      <c r="BK366" s="2"/>
      <c r="BL366" s="2"/>
      <c r="BM366" s="2"/>
      <c r="BN366" s="2"/>
      <c r="BO366" s="2">
        <f>BD349</f>
        <v>1525.0000466202405</v>
      </c>
      <c r="BP366" s="2">
        <f>BD348</f>
        <v>1524.9999939249058</v>
      </c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>
        <f>BD353</f>
        <v>1525.0000770285194</v>
      </c>
      <c r="CJ366" s="2">
        <f>BD350</f>
        <v>1524.9999617742108</v>
      </c>
      <c r="CK366" s="2"/>
      <c r="CL366" s="2"/>
      <c r="CM366" s="2"/>
      <c r="CO366" s="2">
        <f t="shared" si="37"/>
        <v>6100.0000793478766</v>
      </c>
    </row>
    <row r="367" spans="55:93" x14ac:dyDescent="0.2">
      <c r="BJ367" s="3"/>
      <c r="BK367" s="11" t="s">
        <v>229</v>
      </c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O367" s="6" t="s">
        <v>230</v>
      </c>
    </row>
    <row r="372" spans="62:93" x14ac:dyDescent="0.2">
      <c r="BY372" t="s">
        <v>252</v>
      </c>
    </row>
    <row r="375" spans="62:93" ht="244" x14ac:dyDescent="0.2">
      <c r="BK375" s="4" t="s">
        <v>56</v>
      </c>
      <c r="BL375" s="4" t="s">
        <v>59</v>
      </c>
      <c r="BM375" s="4" t="s">
        <v>61</v>
      </c>
      <c r="BN375" s="4" t="s">
        <v>14</v>
      </c>
      <c r="BO375" s="4" t="s">
        <v>87</v>
      </c>
      <c r="BP375" s="4" t="s">
        <v>12</v>
      </c>
      <c r="BQ375" s="4" t="s">
        <v>13</v>
      </c>
      <c r="BR375" s="4" t="s">
        <v>11</v>
      </c>
      <c r="BS375" s="4" t="s">
        <v>9</v>
      </c>
      <c r="BT375" s="4" t="s">
        <v>8</v>
      </c>
      <c r="BU375" s="4" t="s">
        <v>7</v>
      </c>
      <c r="BV375" s="4" t="s">
        <v>52</v>
      </c>
      <c r="BW375" s="4" t="s">
        <v>6</v>
      </c>
      <c r="BX375" s="4" t="s">
        <v>53</v>
      </c>
      <c r="BY375" s="4" t="s">
        <v>5</v>
      </c>
      <c r="BZ375" s="4" t="s">
        <v>54</v>
      </c>
      <c r="CA375" s="4" t="s">
        <v>4</v>
      </c>
      <c r="CB375" s="4" t="s">
        <v>3</v>
      </c>
      <c r="CC375" s="4" t="s">
        <v>57</v>
      </c>
      <c r="CD375" s="4" t="s">
        <v>0</v>
      </c>
      <c r="CE375" s="4" t="s">
        <v>2</v>
      </c>
      <c r="CF375" s="4" t="s">
        <v>55</v>
      </c>
      <c r="CG375" s="4" t="s">
        <v>58</v>
      </c>
      <c r="CH375" s="4" t="s">
        <v>60</v>
      </c>
      <c r="CI375" s="4" t="s">
        <v>1</v>
      </c>
      <c r="CJ375" s="4" t="s">
        <v>10</v>
      </c>
      <c r="CK375" s="4" t="s">
        <v>56</v>
      </c>
      <c r="CL375" s="4" t="s">
        <v>59</v>
      </c>
      <c r="CM375" s="4" t="s">
        <v>61</v>
      </c>
    </row>
    <row r="376" spans="62:93" x14ac:dyDescent="0.2">
      <c r="BJ376" s="3" t="s">
        <v>39</v>
      </c>
      <c r="BK376" s="2">
        <f>BK358/$CO358</f>
        <v>0.14999999999999997</v>
      </c>
      <c r="BL376" s="2">
        <f t="shared" ref="BL376:CM376" si="38">BL358/$CO358</f>
        <v>0.14999999999999997</v>
      </c>
      <c r="BM376" s="2">
        <f t="shared" si="38"/>
        <v>0.7</v>
      </c>
      <c r="BN376" s="2">
        <f t="shared" si="38"/>
        <v>0</v>
      </c>
      <c r="BO376" s="2">
        <f t="shared" si="38"/>
        <v>0</v>
      </c>
      <c r="BP376" s="2">
        <f t="shared" si="38"/>
        <v>0</v>
      </c>
      <c r="BQ376" s="2">
        <f t="shared" si="38"/>
        <v>0</v>
      </c>
      <c r="BR376" s="2">
        <f t="shared" si="38"/>
        <v>0</v>
      </c>
      <c r="BS376" s="2">
        <f t="shared" si="38"/>
        <v>0</v>
      </c>
      <c r="BT376" s="2">
        <f t="shared" si="38"/>
        <v>0</v>
      </c>
      <c r="BU376" s="2">
        <f t="shared" si="38"/>
        <v>0</v>
      </c>
      <c r="BV376" s="2">
        <f t="shared" si="38"/>
        <v>0</v>
      </c>
      <c r="BW376" s="2">
        <f t="shared" si="38"/>
        <v>0</v>
      </c>
      <c r="BX376" s="2">
        <f t="shared" si="38"/>
        <v>0</v>
      </c>
      <c r="BY376" s="2">
        <f t="shared" si="38"/>
        <v>0</v>
      </c>
      <c r="BZ376" s="2">
        <f t="shared" si="38"/>
        <v>0</v>
      </c>
      <c r="CA376" s="2">
        <f t="shared" si="38"/>
        <v>0</v>
      </c>
      <c r="CB376" s="2">
        <f t="shared" si="38"/>
        <v>0</v>
      </c>
      <c r="CC376" s="2">
        <f t="shared" si="38"/>
        <v>0</v>
      </c>
      <c r="CD376" s="2">
        <f t="shared" si="38"/>
        <v>0</v>
      </c>
      <c r="CE376" s="2">
        <f t="shared" si="38"/>
        <v>0</v>
      </c>
      <c r="CF376" s="2">
        <f t="shared" si="38"/>
        <v>0</v>
      </c>
      <c r="CG376" s="2">
        <f t="shared" si="38"/>
        <v>0</v>
      </c>
      <c r="CH376" s="2">
        <f t="shared" si="38"/>
        <v>0</v>
      </c>
      <c r="CI376" s="2">
        <f t="shared" si="38"/>
        <v>0</v>
      </c>
      <c r="CJ376" s="2">
        <f t="shared" si="38"/>
        <v>0</v>
      </c>
      <c r="CK376" s="2">
        <f t="shared" si="38"/>
        <v>0</v>
      </c>
      <c r="CL376" s="2">
        <f t="shared" si="38"/>
        <v>0</v>
      </c>
      <c r="CM376" s="2">
        <f t="shared" si="38"/>
        <v>0</v>
      </c>
    </row>
    <row r="377" spans="62:93" x14ac:dyDescent="0.2">
      <c r="BJ377" s="3" t="s">
        <v>221</v>
      </c>
      <c r="BK377" s="2">
        <f t="shared" ref="BK377:CM377" si="39">BK359/$CO359</f>
        <v>0</v>
      </c>
      <c r="BL377" s="2">
        <f t="shared" si="39"/>
        <v>0</v>
      </c>
      <c r="BM377" s="2">
        <f t="shared" si="39"/>
        <v>0</v>
      </c>
      <c r="BN377" s="2">
        <f t="shared" si="39"/>
        <v>9.6636870939814393E-2</v>
      </c>
      <c r="BO377" s="2">
        <f t="shared" si="39"/>
        <v>0</v>
      </c>
      <c r="BP377" s="2">
        <f t="shared" si="39"/>
        <v>0</v>
      </c>
      <c r="BQ377" s="2">
        <f t="shared" si="39"/>
        <v>4.5249026659317931E-2</v>
      </c>
      <c r="BR377" s="2">
        <f t="shared" si="39"/>
        <v>0.15019408778739768</v>
      </c>
      <c r="BS377" s="2">
        <f t="shared" si="39"/>
        <v>1.612421618393638E-2</v>
      </c>
      <c r="BT377" s="2">
        <f t="shared" si="39"/>
        <v>2.6728965697954195E-2</v>
      </c>
      <c r="BU377" s="2">
        <f t="shared" si="39"/>
        <v>0.12218227329890295</v>
      </c>
      <c r="BV377" s="2">
        <f t="shared" si="39"/>
        <v>0</v>
      </c>
      <c r="BW377" s="2">
        <f t="shared" si="39"/>
        <v>0.14869907353803871</v>
      </c>
      <c r="BX377" s="2">
        <f t="shared" si="39"/>
        <v>0</v>
      </c>
      <c r="BY377" s="2">
        <f t="shared" si="39"/>
        <v>5.4643177067780678E-2</v>
      </c>
      <c r="BZ377" s="2">
        <f t="shared" si="39"/>
        <v>0</v>
      </c>
      <c r="CA377" s="2">
        <f t="shared" si="39"/>
        <v>0.18187985854239883</v>
      </c>
      <c r="CB377" s="2">
        <f t="shared" si="39"/>
        <v>0.14752964928312723</v>
      </c>
      <c r="CC377" s="2">
        <f t="shared" si="39"/>
        <v>6.1388176211768014E-3</v>
      </c>
      <c r="CD377" s="2">
        <f t="shared" si="39"/>
        <v>3.9939833801541187E-3</v>
      </c>
      <c r="CE377" s="2">
        <f t="shared" si="39"/>
        <v>0</v>
      </c>
      <c r="CF377" s="2">
        <f t="shared" si="39"/>
        <v>0</v>
      </c>
      <c r="CG377" s="2">
        <f t="shared" si="39"/>
        <v>0</v>
      </c>
      <c r="CH377" s="2">
        <f t="shared" si="39"/>
        <v>0</v>
      </c>
      <c r="CI377" s="2">
        <f t="shared" si="39"/>
        <v>0</v>
      </c>
      <c r="CJ377" s="2">
        <f t="shared" si="39"/>
        <v>0</v>
      </c>
      <c r="CK377" s="2">
        <f t="shared" si="39"/>
        <v>0</v>
      </c>
      <c r="CL377" s="2">
        <f t="shared" si="39"/>
        <v>0</v>
      </c>
      <c r="CM377" s="2">
        <f t="shared" si="39"/>
        <v>0</v>
      </c>
    </row>
    <row r="378" spans="62:93" x14ac:dyDescent="0.2">
      <c r="BJ378" s="3" t="s">
        <v>222</v>
      </c>
      <c r="BK378" s="2">
        <f t="shared" ref="BK378:CM378" si="40">BK360/$CO360</f>
        <v>0</v>
      </c>
      <c r="BL378" s="2">
        <f t="shared" si="40"/>
        <v>0</v>
      </c>
      <c r="BM378" s="2">
        <f t="shared" si="40"/>
        <v>0</v>
      </c>
      <c r="BN378" s="2">
        <f t="shared" si="40"/>
        <v>0</v>
      </c>
      <c r="BO378" s="2">
        <f t="shared" si="40"/>
        <v>0</v>
      </c>
      <c r="BP378" s="2">
        <f t="shared" si="40"/>
        <v>0</v>
      </c>
      <c r="BQ378" s="2">
        <f t="shared" si="40"/>
        <v>0</v>
      </c>
      <c r="BR378" s="2">
        <f t="shared" si="40"/>
        <v>0</v>
      </c>
      <c r="BS378" s="2">
        <f t="shared" si="40"/>
        <v>0</v>
      </c>
      <c r="BT378" s="2">
        <f t="shared" si="40"/>
        <v>5.000000000000053E-2</v>
      </c>
      <c r="BU378" s="2">
        <f t="shared" si="40"/>
        <v>0</v>
      </c>
      <c r="BV378" s="2">
        <f t="shared" si="40"/>
        <v>0.40000000000000563</v>
      </c>
      <c r="BW378" s="2">
        <f t="shared" si="40"/>
        <v>0</v>
      </c>
      <c r="BX378" s="2">
        <f t="shared" si="40"/>
        <v>0.15000000000000088</v>
      </c>
      <c r="BY378" s="2">
        <f t="shared" si="40"/>
        <v>0</v>
      </c>
      <c r="BZ378" s="2">
        <f t="shared" si="40"/>
        <v>0.39999999999999286</v>
      </c>
      <c r="CA378" s="2">
        <f t="shared" si="40"/>
        <v>0</v>
      </c>
      <c r="CB378" s="2">
        <f t="shared" si="40"/>
        <v>0</v>
      </c>
      <c r="CC378" s="2">
        <f t="shared" si="40"/>
        <v>0</v>
      </c>
      <c r="CD378" s="2">
        <f t="shared" si="40"/>
        <v>0</v>
      </c>
      <c r="CE378" s="2">
        <f t="shared" si="40"/>
        <v>0</v>
      </c>
      <c r="CF378" s="2">
        <f t="shared" si="40"/>
        <v>0</v>
      </c>
      <c r="CG378" s="2">
        <f t="shared" si="40"/>
        <v>0</v>
      </c>
      <c r="CH378" s="2">
        <f t="shared" si="40"/>
        <v>0</v>
      </c>
      <c r="CI378" s="2">
        <f t="shared" si="40"/>
        <v>0</v>
      </c>
      <c r="CJ378" s="2">
        <f t="shared" si="40"/>
        <v>0</v>
      </c>
      <c r="CK378" s="2">
        <f t="shared" si="40"/>
        <v>0</v>
      </c>
      <c r="CL378" s="2">
        <f t="shared" si="40"/>
        <v>0</v>
      </c>
      <c r="CM378" s="2">
        <f t="shared" si="40"/>
        <v>0</v>
      </c>
    </row>
    <row r="379" spans="62:93" x14ac:dyDescent="0.2">
      <c r="BJ379" s="3" t="s">
        <v>224</v>
      </c>
      <c r="BK379" s="2">
        <f t="shared" ref="BK379:CM379" si="41">BK361/$CO361</f>
        <v>0</v>
      </c>
      <c r="BL379" s="2">
        <f t="shared" si="41"/>
        <v>0</v>
      </c>
      <c r="BM379" s="2">
        <f t="shared" si="41"/>
        <v>0</v>
      </c>
      <c r="BN379" s="2">
        <f t="shared" si="41"/>
        <v>0</v>
      </c>
      <c r="BO379" s="2">
        <f t="shared" si="41"/>
        <v>0</v>
      </c>
      <c r="BP379" s="2">
        <f t="shared" si="41"/>
        <v>0</v>
      </c>
      <c r="BQ379" s="2">
        <f t="shared" si="41"/>
        <v>0</v>
      </c>
      <c r="BR379" s="2">
        <f t="shared" si="41"/>
        <v>0</v>
      </c>
      <c r="BS379" s="2">
        <f t="shared" si="41"/>
        <v>0</v>
      </c>
      <c r="BT379" s="2">
        <f t="shared" si="41"/>
        <v>0</v>
      </c>
      <c r="BU379" s="2">
        <f t="shared" si="41"/>
        <v>0</v>
      </c>
      <c r="BV379" s="2">
        <f t="shared" si="41"/>
        <v>0</v>
      </c>
      <c r="BW379" s="2">
        <f t="shared" si="41"/>
        <v>0</v>
      </c>
      <c r="BX379" s="2">
        <f t="shared" si="41"/>
        <v>0</v>
      </c>
      <c r="BY379" s="2">
        <f t="shared" si="41"/>
        <v>0</v>
      </c>
      <c r="BZ379" s="2">
        <f t="shared" si="41"/>
        <v>0</v>
      </c>
      <c r="CA379" s="2">
        <f t="shared" si="41"/>
        <v>0</v>
      </c>
      <c r="CB379" s="2">
        <f t="shared" si="41"/>
        <v>0</v>
      </c>
      <c r="CC379" s="2">
        <f t="shared" si="41"/>
        <v>0</v>
      </c>
      <c r="CD379" s="2">
        <f t="shared" si="41"/>
        <v>0</v>
      </c>
      <c r="CE379" s="2">
        <f t="shared" si="41"/>
        <v>1</v>
      </c>
      <c r="CF379" s="2">
        <f t="shared" si="41"/>
        <v>0</v>
      </c>
      <c r="CG379" s="2">
        <f t="shared" si="41"/>
        <v>0</v>
      </c>
      <c r="CH379" s="2">
        <f t="shared" si="41"/>
        <v>0</v>
      </c>
      <c r="CI379" s="2">
        <f t="shared" si="41"/>
        <v>0</v>
      </c>
      <c r="CJ379" s="2">
        <f t="shared" si="41"/>
        <v>0</v>
      </c>
      <c r="CK379" s="2">
        <f t="shared" si="41"/>
        <v>0</v>
      </c>
      <c r="CL379" s="2">
        <f t="shared" si="41"/>
        <v>0</v>
      </c>
      <c r="CM379" s="2">
        <f t="shared" si="41"/>
        <v>0</v>
      </c>
    </row>
    <row r="380" spans="62:93" x14ac:dyDescent="0.2">
      <c r="BJ380" s="3" t="s">
        <v>225</v>
      </c>
      <c r="BK380" s="2">
        <f t="shared" ref="BK380:CM380" si="42">BK362/$CO362</f>
        <v>0</v>
      </c>
      <c r="BL380" s="2">
        <f t="shared" si="42"/>
        <v>0</v>
      </c>
      <c r="BM380" s="2">
        <f t="shared" si="42"/>
        <v>0</v>
      </c>
      <c r="BN380" s="2">
        <f t="shared" si="42"/>
        <v>0</v>
      </c>
      <c r="BO380" s="2">
        <f t="shared" si="42"/>
        <v>0</v>
      </c>
      <c r="BP380" s="2">
        <f t="shared" si="42"/>
        <v>0</v>
      </c>
      <c r="BQ380" s="2">
        <f t="shared" si="42"/>
        <v>0</v>
      </c>
      <c r="BR380" s="2">
        <f t="shared" si="42"/>
        <v>0</v>
      </c>
      <c r="BS380" s="2">
        <f t="shared" si="42"/>
        <v>0</v>
      </c>
      <c r="BT380" s="2">
        <f t="shared" si="42"/>
        <v>0</v>
      </c>
      <c r="BU380" s="2">
        <f t="shared" si="42"/>
        <v>0</v>
      </c>
      <c r="BV380" s="2">
        <f t="shared" si="42"/>
        <v>0</v>
      </c>
      <c r="BW380" s="2">
        <f t="shared" si="42"/>
        <v>0</v>
      </c>
      <c r="BX380" s="2">
        <f t="shared" si="42"/>
        <v>0</v>
      </c>
      <c r="BY380" s="2">
        <f t="shared" si="42"/>
        <v>0</v>
      </c>
      <c r="BZ380" s="2">
        <f t="shared" si="42"/>
        <v>0</v>
      </c>
      <c r="CA380" s="2">
        <f t="shared" si="42"/>
        <v>0</v>
      </c>
      <c r="CB380" s="2">
        <f t="shared" si="42"/>
        <v>0</v>
      </c>
      <c r="CC380" s="2">
        <f t="shared" si="42"/>
        <v>0</v>
      </c>
      <c r="CD380" s="2">
        <f t="shared" si="42"/>
        <v>0</v>
      </c>
      <c r="CE380" s="2">
        <f t="shared" si="42"/>
        <v>1</v>
      </c>
      <c r="CF380" s="2">
        <f t="shared" si="42"/>
        <v>0</v>
      </c>
      <c r="CG380" s="2">
        <f t="shared" si="42"/>
        <v>0</v>
      </c>
      <c r="CH380" s="2">
        <f t="shared" si="42"/>
        <v>0</v>
      </c>
      <c r="CI380" s="2">
        <f t="shared" si="42"/>
        <v>0</v>
      </c>
      <c r="CJ380" s="2">
        <f t="shared" si="42"/>
        <v>0</v>
      </c>
      <c r="CK380" s="2">
        <f t="shared" si="42"/>
        <v>0</v>
      </c>
      <c r="CL380" s="2">
        <f t="shared" si="42"/>
        <v>0</v>
      </c>
      <c r="CM380" s="2">
        <f t="shared" si="42"/>
        <v>0</v>
      </c>
    </row>
    <row r="381" spans="62:93" x14ac:dyDescent="0.2">
      <c r="BJ381" s="3" t="s">
        <v>226</v>
      </c>
      <c r="BK381" s="2">
        <f t="shared" ref="BK381:CM381" si="43">BK363/$CO363</f>
        <v>0</v>
      </c>
      <c r="BL381" s="2">
        <f t="shared" si="43"/>
        <v>0</v>
      </c>
      <c r="BM381" s="2">
        <f t="shared" si="43"/>
        <v>0</v>
      </c>
      <c r="BN381" s="2">
        <f t="shared" si="43"/>
        <v>0</v>
      </c>
      <c r="BO381" s="2">
        <f t="shared" si="43"/>
        <v>0</v>
      </c>
      <c r="BP381" s="2">
        <f t="shared" si="43"/>
        <v>0</v>
      </c>
      <c r="BQ381" s="2">
        <f t="shared" si="43"/>
        <v>0</v>
      </c>
      <c r="BR381" s="2">
        <f t="shared" si="43"/>
        <v>0</v>
      </c>
      <c r="BS381" s="2">
        <f t="shared" si="43"/>
        <v>0</v>
      </c>
      <c r="BT381" s="2">
        <f t="shared" si="43"/>
        <v>0</v>
      </c>
      <c r="BU381" s="2">
        <f t="shared" si="43"/>
        <v>0</v>
      </c>
      <c r="BV381" s="2">
        <f t="shared" si="43"/>
        <v>0</v>
      </c>
      <c r="BW381" s="2">
        <f t="shared" si="43"/>
        <v>0</v>
      </c>
      <c r="BX381" s="2">
        <f t="shared" si="43"/>
        <v>0</v>
      </c>
      <c r="BY381" s="2">
        <f t="shared" si="43"/>
        <v>0</v>
      </c>
      <c r="BZ381" s="2">
        <f t="shared" si="43"/>
        <v>0</v>
      </c>
      <c r="CA381" s="2">
        <f t="shared" si="43"/>
        <v>0</v>
      </c>
      <c r="CB381" s="2">
        <f t="shared" si="43"/>
        <v>0</v>
      </c>
      <c r="CC381" s="2">
        <f t="shared" si="43"/>
        <v>0</v>
      </c>
      <c r="CD381" s="2">
        <f t="shared" si="43"/>
        <v>0</v>
      </c>
      <c r="CE381" s="2">
        <f t="shared" si="43"/>
        <v>0</v>
      </c>
      <c r="CF381" s="2">
        <f t="shared" si="43"/>
        <v>0.73987653502722284</v>
      </c>
      <c r="CG381" s="2">
        <f t="shared" si="43"/>
        <v>0.20707513651815113</v>
      </c>
      <c r="CH381" s="2">
        <f t="shared" si="43"/>
        <v>5.3048328454625919E-2</v>
      </c>
      <c r="CI381" s="2">
        <f t="shared" si="43"/>
        <v>0</v>
      </c>
      <c r="CJ381" s="2">
        <f t="shared" si="43"/>
        <v>0</v>
      </c>
      <c r="CK381" s="2">
        <f t="shared" si="43"/>
        <v>0</v>
      </c>
      <c r="CL381" s="2">
        <f t="shared" si="43"/>
        <v>0</v>
      </c>
      <c r="CM381" s="2">
        <f t="shared" si="43"/>
        <v>0</v>
      </c>
      <c r="CO381" s="15"/>
    </row>
    <row r="382" spans="62:93" x14ac:dyDescent="0.2">
      <c r="BJ382" s="3" t="s">
        <v>227</v>
      </c>
      <c r="BK382" s="2">
        <f t="shared" ref="BK382:CM382" si="44">BK364/$CO364</f>
        <v>0</v>
      </c>
      <c r="BL382" s="2">
        <f t="shared" si="44"/>
        <v>0</v>
      </c>
      <c r="BM382" s="2">
        <f t="shared" si="44"/>
        <v>0</v>
      </c>
      <c r="BN382" s="2">
        <f t="shared" si="44"/>
        <v>0</v>
      </c>
      <c r="BO382" s="2">
        <f t="shared" si="44"/>
        <v>0</v>
      </c>
      <c r="BP382" s="2">
        <f t="shared" si="44"/>
        <v>0</v>
      </c>
      <c r="BQ382" s="2">
        <f t="shared" si="44"/>
        <v>0</v>
      </c>
      <c r="BR382" s="2">
        <f t="shared" si="44"/>
        <v>0</v>
      </c>
      <c r="BS382" s="2">
        <f t="shared" si="44"/>
        <v>0</v>
      </c>
      <c r="BT382" s="2">
        <f t="shared" si="44"/>
        <v>0</v>
      </c>
      <c r="BU382" s="2">
        <f t="shared" si="44"/>
        <v>0</v>
      </c>
      <c r="BV382" s="2">
        <f t="shared" si="44"/>
        <v>0</v>
      </c>
      <c r="BW382" s="2">
        <f t="shared" si="44"/>
        <v>0</v>
      </c>
      <c r="BX382" s="2">
        <f t="shared" si="44"/>
        <v>0</v>
      </c>
      <c r="BY382" s="2">
        <f t="shared" si="44"/>
        <v>0</v>
      </c>
      <c r="BZ382" s="2">
        <f t="shared" si="44"/>
        <v>0</v>
      </c>
      <c r="CA382" s="2">
        <f t="shared" si="44"/>
        <v>0</v>
      </c>
      <c r="CB382" s="2">
        <f t="shared" si="44"/>
        <v>0</v>
      </c>
      <c r="CC382" s="2">
        <f t="shared" si="44"/>
        <v>0</v>
      </c>
      <c r="CD382" s="2">
        <f t="shared" si="44"/>
        <v>0</v>
      </c>
      <c r="CE382" s="2">
        <f t="shared" si="44"/>
        <v>0</v>
      </c>
      <c r="CF382" s="2">
        <f t="shared" si="44"/>
        <v>0.73987653502722539</v>
      </c>
      <c r="CG382" s="2">
        <f t="shared" si="44"/>
        <v>0.20707513651814952</v>
      </c>
      <c r="CH382" s="2">
        <f t="shared" si="44"/>
        <v>5.3048328454625177E-2</v>
      </c>
      <c r="CI382" s="2">
        <f t="shared" si="44"/>
        <v>0</v>
      </c>
      <c r="CJ382" s="2">
        <f t="shared" si="44"/>
        <v>0</v>
      </c>
      <c r="CK382" s="2">
        <f t="shared" si="44"/>
        <v>0</v>
      </c>
      <c r="CL382" s="2">
        <f t="shared" si="44"/>
        <v>0</v>
      </c>
      <c r="CM382" s="2">
        <f t="shared" si="44"/>
        <v>0</v>
      </c>
      <c r="CO382" s="15"/>
    </row>
    <row r="383" spans="62:93" x14ac:dyDescent="0.2">
      <c r="BJ383" s="3" t="s">
        <v>228</v>
      </c>
      <c r="BK383" s="2">
        <f t="shared" ref="BK383:CM383" si="45">BK365/$CO365</f>
        <v>0</v>
      </c>
      <c r="BL383" s="2">
        <f t="shared" si="45"/>
        <v>0</v>
      </c>
      <c r="BM383" s="2">
        <f t="shared" si="45"/>
        <v>0</v>
      </c>
      <c r="BN383" s="2">
        <f t="shared" si="45"/>
        <v>0</v>
      </c>
      <c r="BO383" s="2">
        <f t="shared" si="45"/>
        <v>0</v>
      </c>
      <c r="BP383" s="2">
        <f t="shared" si="45"/>
        <v>0</v>
      </c>
      <c r="BQ383" s="2">
        <f t="shared" si="45"/>
        <v>0</v>
      </c>
      <c r="BR383" s="2">
        <f t="shared" si="45"/>
        <v>0</v>
      </c>
      <c r="BS383" s="2">
        <f t="shared" si="45"/>
        <v>0</v>
      </c>
      <c r="BT383" s="2">
        <f t="shared" si="45"/>
        <v>0</v>
      </c>
      <c r="BU383" s="2">
        <f t="shared" si="45"/>
        <v>0</v>
      </c>
      <c r="BV383" s="2">
        <f t="shared" si="45"/>
        <v>0</v>
      </c>
      <c r="BW383" s="2">
        <f t="shared" si="45"/>
        <v>0</v>
      </c>
      <c r="BX383" s="2">
        <f t="shared" si="45"/>
        <v>0</v>
      </c>
      <c r="BY383" s="2">
        <f t="shared" si="45"/>
        <v>0</v>
      </c>
      <c r="BZ383" s="2">
        <f t="shared" si="45"/>
        <v>0</v>
      </c>
      <c r="CA383" s="2">
        <f t="shared" si="45"/>
        <v>0</v>
      </c>
      <c r="CB383" s="2">
        <f t="shared" si="45"/>
        <v>0</v>
      </c>
      <c r="CC383" s="2">
        <f t="shared" si="45"/>
        <v>0</v>
      </c>
      <c r="CD383" s="2">
        <f t="shared" si="45"/>
        <v>0</v>
      </c>
      <c r="CE383" s="2">
        <f t="shared" si="45"/>
        <v>0</v>
      </c>
      <c r="CF383" s="2">
        <f t="shared" si="45"/>
        <v>0</v>
      </c>
      <c r="CG383" s="2">
        <f t="shared" si="45"/>
        <v>0</v>
      </c>
      <c r="CH383" s="2">
        <f t="shared" si="45"/>
        <v>0</v>
      </c>
      <c r="CI383" s="2">
        <f t="shared" si="45"/>
        <v>0</v>
      </c>
      <c r="CJ383" s="2">
        <f t="shared" si="45"/>
        <v>0</v>
      </c>
      <c r="CK383" s="2">
        <f t="shared" si="45"/>
        <v>0.15</v>
      </c>
      <c r="CL383" s="2">
        <f t="shared" si="45"/>
        <v>0.15</v>
      </c>
      <c r="CM383" s="2">
        <f t="shared" si="45"/>
        <v>0.70000000000000007</v>
      </c>
    </row>
    <row r="384" spans="62:93" x14ac:dyDescent="0.2">
      <c r="BJ384" s="3" t="s">
        <v>251</v>
      </c>
      <c r="BK384" s="2">
        <f t="shared" ref="BK384:CM384" si="46">BK366/$CO366</f>
        <v>0</v>
      </c>
      <c r="BL384" s="2">
        <f t="shared" si="46"/>
        <v>0</v>
      </c>
      <c r="BM384" s="2">
        <f t="shared" si="46"/>
        <v>0</v>
      </c>
      <c r="BN384" s="2">
        <f t="shared" si="46"/>
        <v>0</v>
      </c>
      <c r="BO384" s="2">
        <f t="shared" si="46"/>
        <v>0.25000000439070014</v>
      </c>
      <c r="BP384" s="2">
        <f t="shared" si="46"/>
        <v>0.24999999575212081</v>
      </c>
      <c r="BQ384" s="2">
        <f t="shared" si="46"/>
        <v>0</v>
      </c>
      <c r="BR384" s="2">
        <f t="shared" si="46"/>
        <v>0</v>
      </c>
      <c r="BS384" s="2">
        <f t="shared" si="46"/>
        <v>0</v>
      </c>
      <c r="BT384" s="2">
        <f t="shared" si="46"/>
        <v>0</v>
      </c>
      <c r="BU384" s="2">
        <f t="shared" si="46"/>
        <v>0</v>
      </c>
      <c r="BV384" s="2">
        <f t="shared" si="46"/>
        <v>0</v>
      </c>
      <c r="BW384" s="2">
        <f t="shared" si="46"/>
        <v>0</v>
      </c>
      <c r="BX384" s="2">
        <f t="shared" si="46"/>
        <v>0</v>
      </c>
      <c r="BY384" s="2">
        <f t="shared" si="46"/>
        <v>0</v>
      </c>
      <c r="BZ384" s="2">
        <f t="shared" si="46"/>
        <v>0</v>
      </c>
      <c r="CA384" s="2">
        <f t="shared" si="46"/>
        <v>0</v>
      </c>
      <c r="CB384" s="2">
        <f t="shared" si="46"/>
        <v>0</v>
      </c>
      <c r="CC384" s="2">
        <f t="shared" si="46"/>
        <v>0</v>
      </c>
      <c r="CD384" s="2">
        <f t="shared" si="46"/>
        <v>0</v>
      </c>
      <c r="CE384" s="2">
        <f t="shared" si="46"/>
        <v>0</v>
      </c>
      <c r="CF384" s="2">
        <f t="shared" si="46"/>
        <v>0</v>
      </c>
      <c r="CG384" s="2">
        <f t="shared" si="46"/>
        <v>0</v>
      </c>
      <c r="CH384" s="2">
        <f t="shared" si="46"/>
        <v>0</v>
      </c>
      <c r="CI384" s="2">
        <f t="shared" si="46"/>
        <v>0.25000000937566386</v>
      </c>
      <c r="CJ384" s="2">
        <f t="shared" si="46"/>
        <v>0.24999999048151514</v>
      </c>
      <c r="CK384" s="2">
        <f t="shared" si="46"/>
        <v>0</v>
      </c>
      <c r="CL384" s="2">
        <f t="shared" si="46"/>
        <v>0</v>
      </c>
      <c r="CM384" s="2">
        <f t="shared" si="46"/>
        <v>0</v>
      </c>
    </row>
    <row r="385" spans="63:91" x14ac:dyDescent="0.2">
      <c r="BK385" s="11" t="s">
        <v>229</v>
      </c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</row>
  </sheetData>
  <mergeCells count="14">
    <mergeCell ref="BK385:CM385"/>
    <mergeCell ref="CP12:DO12"/>
    <mergeCell ref="BK367:CM367"/>
    <mergeCell ref="AI10:BH10"/>
    <mergeCell ref="BK10:CJ10"/>
    <mergeCell ref="BK11:CJ11"/>
    <mergeCell ref="BK12:CJ12"/>
    <mergeCell ref="B34:C34"/>
    <mergeCell ref="F10:AE10"/>
    <mergeCell ref="B165:AA165"/>
    <mergeCell ref="B277:AA277"/>
    <mergeCell ref="B150:AA150"/>
    <mergeCell ref="B152:AA152"/>
    <mergeCell ref="L68:AK68"/>
  </mergeCells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PSB &amp; Charcoal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Heun</dc:creator>
  <cp:lastModifiedBy>Matthew Heun</cp:lastModifiedBy>
  <dcterms:created xsi:type="dcterms:W3CDTF">2026-10-25T16:42:17Z</dcterms:created>
  <dcterms:modified xsi:type="dcterms:W3CDTF">2026-10-28T17:58:05Z</dcterms:modified>
</cp:coreProperties>
</file>