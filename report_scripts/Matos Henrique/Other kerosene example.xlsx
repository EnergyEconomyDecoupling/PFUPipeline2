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kh2/github/PFUPipeline2/report_scripts/Matos Henrique/"/>
    </mc:Choice>
  </mc:AlternateContent>
  <xr:revisionPtr revIDLastSave="0" documentId="13_ncr:1_{C475AA19-6128-554F-BA6A-2073D97648AB}" xr6:coauthVersionLast="47" xr6:coauthVersionMax="47" xr10:uidLastSave="{00000000-0000-0000-0000-000000000000}"/>
  <bookViews>
    <workbookView xWindow="0" yWindow="660" windowWidth="29400" windowHeight="18460" activeTab="1" xr2:uid="{C9C58493-B417-3A4E-803E-79C3192C4023}"/>
  </bookViews>
  <sheets>
    <sheet name="Other kerosene" sheetId="1" r:id="rId1"/>
    <sheet name="Fuel oi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Z31" i="2" l="1" a="1"/>
  <c r="CZ31" i="2" s="1"/>
  <c r="CC31" i="2" a="1"/>
  <c r="CC31" i="2" s="1"/>
  <c r="AC90" i="2"/>
  <c r="AB89" i="2"/>
  <c r="AA88" i="2"/>
  <c r="Z87" i="2"/>
  <c r="Y86" i="2"/>
  <c r="X85" i="2"/>
  <c r="W84" i="2"/>
  <c r="V83" i="2"/>
  <c r="U82" i="2"/>
  <c r="T81" i="2"/>
  <c r="S80" i="2"/>
  <c r="R79" i="2"/>
  <c r="Q78" i="2"/>
  <c r="P77" i="2"/>
  <c r="O76" i="2"/>
  <c r="N75" i="2"/>
  <c r="M74" i="2"/>
  <c r="L73" i="2"/>
  <c r="K72" i="2"/>
  <c r="AH73" i="2" l="1" a="1"/>
  <c r="AH73" i="2" s="1"/>
  <c r="K31" i="2" a="1"/>
  <c r="P8" i="2"/>
  <c r="AM8" i="2" s="1"/>
  <c r="O7" i="2"/>
  <c r="AL7" i="2" s="1"/>
  <c r="N6" i="2"/>
  <c r="AK6" i="2" s="1"/>
  <c r="M5" i="2"/>
  <c r="AJ5" i="2" s="1"/>
  <c r="L4" i="2"/>
  <c r="AI4" i="2" s="1"/>
  <c r="K3" i="2"/>
  <c r="AH3" i="2" s="1"/>
  <c r="I35" i="1"/>
  <c r="P35" i="1" s="1"/>
  <c r="H34" i="1"/>
  <c r="O34" i="1" s="1"/>
  <c r="G33" i="1"/>
  <c r="N33" i="1" s="1"/>
  <c r="G17" i="1" a="1"/>
  <c r="G17" i="1" s="1"/>
  <c r="N17" i="1" s="1"/>
  <c r="H9" i="1"/>
  <c r="O9" i="1" s="1"/>
  <c r="G8" i="1"/>
  <c r="N8" i="1" s="1"/>
  <c r="K31" i="2" l="1"/>
  <c r="AH31" i="2" s="1"/>
  <c r="AQ32" i="2"/>
  <c r="BA32" i="2"/>
  <c r="AQ33" i="2"/>
  <c r="BA33" i="2"/>
  <c r="AQ34" i="2"/>
  <c r="BA34" i="2"/>
  <c r="AQ35" i="2"/>
  <c r="BA35" i="2"/>
  <c r="AQ36" i="2"/>
  <c r="BA36" i="2"/>
  <c r="AR31" i="2"/>
  <c r="AK33" i="2"/>
  <c r="AK34" i="2"/>
  <c r="AK36" i="2"/>
  <c r="AV31" i="2"/>
  <c r="AL32" i="2"/>
  <c r="AL34" i="2"/>
  <c r="AL36" i="2"/>
  <c r="AW33" i="2"/>
  <c r="AM36" i="2"/>
  <c r="AW36" i="2"/>
  <c r="AN33" i="2"/>
  <c r="AX34" i="2"/>
  <c r="AN36" i="2"/>
  <c r="AO31" i="2"/>
  <c r="AO32" i="2"/>
  <c r="AY34" i="2"/>
  <c r="AP31" i="2"/>
  <c r="AP33" i="2"/>
  <c r="AP35" i="2"/>
  <c r="AZ36" i="2"/>
  <c r="AH32" i="2"/>
  <c r="AR32" i="2"/>
  <c r="AH33" i="2"/>
  <c r="AR33" i="2"/>
  <c r="AH34" i="2"/>
  <c r="AR34" i="2"/>
  <c r="AH35" i="2"/>
  <c r="AR35" i="2"/>
  <c r="AH36" i="2"/>
  <c r="AR36" i="2"/>
  <c r="AI31" i="2"/>
  <c r="AS31" i="2"/>
  <c r="AK32" i="2"/>
  <c r="AU34" i="2"/>
  <c r="AU36" i="2"/>
  <c r="AV32" i="2"/>
  <c r="AL35" i="2"/>
  <c r="AM31" i="2"/>
  <c r="AM32" i="2"/>
  <c r="AW35" i="2"/>
  <c r="AX31" i="2"/>
  <c r="AX32" i="2"/>
  <c r="AN35" i="2"/>
  <c r="AX36" i="2"/>
  <c r="AY31" i="2"/>
  <c r="AY32" i="2"/>
  <c r="AO34" i="2"/>
  <c r="AY35" i="2"/>
  <c r="AY36" i="2"/>
  <c r="AP34" i="2"/>
  <c r="AP36" i="2"/>
  <c r="AI32" i="2"/>
  <c r="AS32" i="2"/>
  <c r="AI33" i="2"/>
  <c r="AS33" i="2"/>
  <c r="AI34" i="2"/>
  <c r="AS34" i="2"/>
  <c r="AI35" i="2"/>
  <c r="AS35" i="2"/>
  <c r="AI36" i="2"/>
  <c r="AS36" i="2"/>
  <c r="AJ31" i="2"/>
  <c r="AT31" i="2"/>
  <c r="AU33" i="2"/>
  <c r="AU35" i="2"/>
  <c r="AL33" i="2"/>
  <c r="AV34" i="2"/>
  <c r="AV36" i="2"/>
  <c r="AM33" i="2"/>
  <c r="AW34" i="2"/>
  <c r="AN31" i="2"/>
  <c r="AN32" i="2"/>
  <c r="AN34" i="2"/>
  <c r="AO33" i="2"/>
  <c r="AO36" i="2"/>
  <c r="AZ32" i="2"/>
  <c r="AZ35" i="2"/>
  <c r="BA31" i="2"/>
  <c r="AJ32" i="2"/>
  <c r="AT32" i="2"/>
  <c r="AJ33" i="2"/>
  <c r="AT33" i="2"/>
  <c r="AJ34" i="2"/>
  <c r="AT34" i="2"/>
  <c r="AJ35" i="2"/>
  <c r="AT35" i="2"/>
  <c r="AJ36" i="2"/>
  <c r="AT36" i="2"/>
  <c r="AK31" i="2"/>
  <c r="AU31" i="2"/>
  <c r="AU32" i="2"/>
  <c r="AK35" i="2"/>
  <c r="AL31" i="2"/>
  <c r="AV33" i="2"/>
  <c r="AV35" i="2"/>
  <c r="AW31" i="2"/>
  <c r="AW32" i="2"/>
  <c r="AM35" i="2"/>
  <c r="AX33" i="2"/>
  <c r="AX35" i="2"/>
  <c r="AY33" i="2"/>
  <c r="AO35" i="2"/>
  <c r="AZ31" i="2"/>
  <c r="AP32" i="2"/>
  <c r="AZ34" i="2"/>
  <c r="AM34" i="2"/>
  <c r="AZ33" i="2"/>
  <c r="AQ31" i="2"/>
  <c r="P17" i="1"/>
  <c r="O17" i="1"/>
  <c r="Q18" i="1"/>
  <c r="BE31" i="2" l="1" a="1"/>
  <c r="U17" i="1" a="1"/>
  <c r="BE31" i="2" l="1"/>
  <c r="U17" i="1"/>
  <c r="Z8" i="1" a="1"/>
  <c r="Z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tc={638FCC4E-1C01-EF4C-8A9E-9BE51EFCD58C}</author>
  </authors>
  <commentList>
    <comment ref="BS31" authorId="0" shapeId="0" xr:uid="{638FCC4E-1C01-EF4C-8A9E-9BE51EFCD58C}">
      <text>
        <t>[Threaded comment]
Your version of Excel allows you to read this threaded comment; however, any edits to it will get removed if the file is opened in a newer version of Excel. Learn more: https://go.microsoft.com/fwlink/?linkid=870924
Comment:
    Compare to final energy in the Domestic navigation sector. The number here is 513.4 TJ, which is the column sum for Domestic navigation in Y_f. (80.4 TJ from Fuel oil + 433.0 TJ from Gas/diesel oil excl. biofuels = 513.4 TJ). Need to figure out why.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<sst xmlns="http://schemas.openxmlformats.org/spreadsheetml/2006/main" count="389" uniqueCount="95">
  <si>
    <t>Other kerosene -&gt; Residential</t>
  </si>
  <si>
    <t>Other kerosene</t>
  </si>
  <si>
    <t>Residential</t>
  </si>
  <si>
    <t>Exports [of Other kerosene]</t>
  </si>
  <si>
    <t>Y_f</t>
  </si>
  <si>
    <t>Other kerosene -&gt; Exports [of Other kerosene]</t>
  </si>
  <si>
    <t>Y_f_vec_hat</t>
  </si>
  <si>
    <t>Y_f_vec_hat_inv</t>
  </si>
  <si>
    <t>LPG stoves -&gt; LTH.20.C</t>
  </si>
  <si>
    <t>etafu</t>
  </si>
  <si>
    <t>eta_fu</t>
  </si>
  <si>
    <t>LTH.20.C [from LPG stoves]</t>
  </si>
  <si>
    <t>MTH.200.C [from LPG stoves]</t>
  </si>
  <si>
    <t>MTH.100.C [from LPG stoves]</t>
  </si>
  <si>
    <t>LPG stoves -&gt; MTH.100.C</t>
  </si>
  <si>
    <t>LPG stoves -&gt; MTH.200.C</t>
  </si>
  <si>
    <t>Y_u</t>
  </si>
  <si>
    <t>Y_u_T</t>
  </si>
  <si>
    <t>Flip column notation</t>
  </si>
  <si>
    <t>eta_fu_hat</t>
  </si>
  <si>
    <t>eta_fu_hat_inv</t>
  </si>
  <si>
    <t>Y_u_T * eta_fu_hat_inv</t>
  </si>
  <si>
    <t>Gives final energy for each useful energy carrier.</t>
  </si>
  <si>
    <t>With Other kerosene added to match rows of Y_u_T</t>
  </si>
  <si>
    <r>
      <t>But, how to match cols of</t>
    </r>
    <r>
      <rPr>
        <b/>
        <sz val="12"/>
        <color theme="1"/>
        <rFont val="Aptos Narrow"/>
        <scheme val="minor"/>
      </rPr>
      <t xml:space="preserve"> Y_f_vec_hat_inv</t>
    </r>
    <r>
      <rPr>
        <sz val="12"/>
        <color theme="1"/>
        <rFont val="Aptos Narrow"/>
        <family val="2"/>
        <scheme val="minor"/>
      </rPr>
      <t xml:space="preserve"> to rows of </t>
    </r>
    <r>
      <rPr>
        <b/>
        <sz val="12"/>
        <color theme="1"/>
        <rFont val="Aptos Narrow"/>
        <scheme val="minor"/>
      </rPr>
      <t>Y_u_T * eta_fu_hat_inv</t>
    </r>
    <r>
      <rPr>
        <sz val="12"/>
        <color theme="1"/>
        <rFont val="Aptos Narrow"/>
        <family val="2"/>
        <scheme val="minor"/>
      </rPr>
      <t>?</t>
    </r>
  </si>
  <si>
    <t>C_Y = Y_f_vec_hat_inv * (Y_u_T * eta_fu_hat_inv)</t>
  </si>
  <si>
    <t>Industry NES</t>
  </si>
  <si>
    <t>Fuel oil</t>
  </si>
  <si>
    <t>Domestic navigation</t>
  </si>
  <si>
    <t>Exports [of Fuel oil]</t>
  </si>
  <si>
    <t>Exports to World marine bunkers [of Fuel oil]</t>
  </si>
  <si>
    <t>Rail</t>
  </si>
  <si>
    <t>Stock changes [of Fuel oil]</t>
  </si>
  <si>
    <t>Fuel oil -&gt; Domestic navigation</t>
  </si>
  <si>
    <t>Fuel oil -&gt; Exports [of Fuel oil]</t>
  </si>
  <si>
    <t>Fuel oil -&gt; Exports to World marine bunkers [of Fuel oil]</t>
  </si>
  <si>
    <t>Fuel oil -&gt; Industry NES</t>
  </si>
  <si>
    <t>Fuel oil -&gt; Rail</t>
  </si>
  <si>
    <t>Fuel oil -&gt; Stock changes [of Fuel oil]</t>
  </si>
  <si>
    <t>Industry not elsewhere specified</t>
  </si>
  <si>
    <t>HPA [from Air compressors]</t>
  </si>
  <si>
    <t>HPL [from Electric pumps]</t>
  </si>
  <si>
    <t>HTH.1200.C [from Clinker kilns]</t>
  </si>
  <si>
    <t>HTH.1800.C [from Blast oxygen furnaces]</t>
  </si>
  <si>
    <t>HTH.600.C [from Industrial electric process heaters]</t>
  </si>
  <si>
    <t>HTH.850.C [from Steam cracking furnaces]</t>
  </si>
  <si>
    <t>HTH.960.C [from Electro-chemical processors]</t>
  </si>
  <si>
    <t>IP [from Computers]</t>
  </si>
  <si>
    <t>KE [from Industrial fans]</t>
  </si>
  <si>
    <t>L [from Industrial electric lamps]</t>
  </si>
  <si>
    <t>LTC.-10.C [from Industrial refrigerators]</t>
  </si>
  <si>
    <t>LTC.20.C [from HVAC]</t>
  </si>
  <si>
    <t>MacW [from Machine tools]</t>
  </si>
  <si>
    <t>MacW [from Material handlers]</t>
  </si>
  <si>
    <t>MaP [from Domestic boats]</t>
  </si>
  <si>
    <t>MD [from Static diesel engines]</t>
  </si>
  <si>
    <t>MTH.130.C [from Paper dryers]</t>
  </si>
  <si>
    <t>RaP [from Diesel trains]</t>
  </si>
  <si>
    <t>RoP [from Electric cars]</t>
  </si>
  <si>
    <t>Containing all columns in Y_f</t>
  </si>
  <si>
    <t>Air compressors -&gt; HPA</t>
  </si>
  <si>
    <t>Electric pumps -&gt; HPL</t>
  </si>
  <si>
    <t>Clinker kilns -&gt; HTH.1200.C</t>
  </si>
  <si>
    <t>Blast oxygen furnaces -&gt; HTH.1800.C</t>
  </si>
  <si>
    <t>Industrial electric process heaters -&gt; HTH.600.C</t>
  </si>
  <si>
    <t>Steam cracking furnaces -&gt; HTH.850.C</t>
  </si>
  <si>
    <t>Electro-chemical processors -&gt; HTH.960.C</t>
  </si>
  <si>
    <t>Computers -&gt; IP</t>
  </si>
  <si>
    <t>Industrial fans -&gt; KE</t>
  </si>
  <si>
    <t>Industrial electric lamps -&gt; L</t>
  </si>
  <si>
    <t>Industrial refrigerators -&gt; LTC.-10.C</t>
  </si>
  <si>
    <t>HVAC -&gt; LTC.20.C</t>
  </si>
  <si>
    <t>Machine tools -&gt; MacW</t>
  </si>
  <si>
    <t>Material handlersm -&gt; MacW</t>
  </si>
  <si>
    <t>Domestic boats -&gt; MaP</t>
  </si>
  <si>
    <t>Static diesel engines -&gt; MD</t>
  </si>
  <si>
    <t>Paper dryers -&gt; MTH.130.C</t>
  </si>
  <si>
    <t>Diesel trains -&gt; RaP</t>
  </si>
  <si>
    <t>Electric cars -&gt; RoP</t>
  </si>
  <si>
    <t>Only those machines in Y_u_T columns</t>
  </si>
  <si>
    <t>With row added for Fuel oil</t>
  </si>
  <si>
    <t>Gives final energy for each useful energy carrier. TOTAL for the sector.</t>
  </si>
  <si>
    <t>Need to multiply by col fractions of Y_f.</t>
  </si>
  <si>
    <t>Fuel oil -&gt; Industry not elsewhere specified</t>
  </si>
  <si>
    <t xml:space="preserve">Y_final |&gt; </t>
  </si>
  <si>
    <t xml:space="preserve">  matsbyname::fractionize_byname(Y_final, margin = 2) |&gt; </t>
  </si>
  <si>
    <t xml:space="preserve">  matsbyname::vectorize_byname(notation = RCLabels::arrow_notation) |&gt;</t>
  </si>
  <si>
    <t xml:space="preserve">  matsbyname::hatize_byname() |&gt;</t>
  </si>
  <si>
    <t xml:space="preserve">  matsbyname::aggregate_pieces_byname(piece = "suff", </t>
  </si>
  <si>
    <t xml:space="preserve">                                      margin = 2, </t>
  </si>
  <si>
    <t xml:space="preserve">                                      notation = RCLabels::arrow_notation)</t>
  </si>
  <si>
    <t>Y_special * (Y_u_T * eta_fu_hat_inv)</t>
  </si>
  <si>
    <t>Y_f_pecial</t>
  </si>
  <si>
    <t>This provides the split by final energy to each sector.</t>
  </si>
  <si>
    <t>C_Y = Y_f_vec_hat_inv *[Y_special *  (Y_u_T * eta_fu_hat_inv)]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</si>
</sst>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-0.2499465926084170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textRotation="90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4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Alignment="1"/>
    <xf numFmtId="0" fontId="0" fillId="0" borderId="0" xfId="0" applyAlignment="1"/>
    <xf numFmtId="0" fontId="0" fillId="0" borderId="0" xfId="0" applyFill="1"/>
    <xf numFmtId="0" fontId="0" fillId="5" borderId="0" xfId="0" applyFill="1" applyAlignment="1">
      <alignment horizontal="center"/>
    </xf>
    <xf numFmtId="0" fontId="0" fillId="5" borderId="0" xfId="0" applyFill="1"/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177800</xdr:colOff>
      <xdr:row>7</xdr:row>
      <xdr:rowOff>101600</xdr:rowOff>
    </xdr:from>
    <xdr:to>
      <xdr:col>4</xdr:col>
      <xdr:colOff>152400</xdr:colOff>
      <xdr:row>7</xdr:row>
      <xdr:rowOff>101600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C02F0D5-3C70-7ADA-7231-E483091D9C58}"/>
            </a:ext>
          </a:extLst>
        </xdr:cNvPr>
        <xdr:cNvCxnSpPr/>
      </xdr:nvCxnSpPr>
      <xdr:spPr>
        <a:xfrm>
          <a:off x="4737100" y="4229100"/>
          <a:ext cx="800100" cy="0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101600</xdr:colOff>
      <xdr:row>17</xdr:row>
      <xdr:rowOff>88900</xdr:rowOff>
    </xdr:from>
    <xdr:to>
      <xdr:col>4</xdr:col>
      <xdr:colOff>76200</xdr:colOff>
      <xdr:row>17</xdr:row>
      <xdr:rowOff>88900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A0799AA-A42D-8045-BBD4-D945663570DD}"/>
            </a:ext>
          </a:extLst>
        </xdr:cNvPr>
        <xdr:cNvCxnSpPr/>
      </xdr:nvCxnSpPr>
      <xdr:spPr>
        <a:xfrm>
          <a:off x="4660900" y="7912100"/>
          <a:ext cx="800100" cy="0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177800</xdr:colOff>
      <xdr:row>8</xdr:row>
      <xdr:rowOff>12700</xdr:rowOff>
    </xdr:from>
    <xdr:to>
      <xdr:col>11</xdr:col>
      <xdr:colOff>812800</xdr:colOff>
      <xdr:row>8</xdr:row>
      <xdr:rowOff>12700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28EB2379-5A55-DE47-B848-D04778F8E1FD}"/>
            </a:ext>
          </a:extLst>
        </xdr:cNvPr>
        <xdr:cNvCxnSpPr/>
      </xdr:nvCxnSpPr>
      <xdr:spPr>
        <a:xfrm>
          <a:off x="9410700" y="4343400"/>
          <a:ext cx="3111500" cy="0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139700</xdr:colOff>
      <xdr:row>17</xdr:row>
      <xdr:rowOff>12700</xdr:rowOff>
    </xdr:from>
    <xdr:to>
      <xdr:col>12</xdr:col>
      <xdr:colOff>1003300</xdr:colOff>
      <xdr:row>17</xdr:row>
      <xdr:rowOff>12700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4E4DFBE2-0229-FE49-A417-6FB0668BBC9E}"/>
            </a:ext>
          </a:extLst>
        </xdr:cNvPr>
        <xdr:cNvCxnSpPr/>
      </xdr:nvCxnSpPr>
      <xdr:spPr>
        <a:xfrm>
          <a:off x="11023600" y="7835900"/>
          <a:ext cx="2514600" cy="0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101600</xdr:colOff>
      <xdr:row>33</xdr:row>
      <xdr:rowOff>114300</xdr:rowOff>
    </xdr:from>
    <xdr:to>
      <xdr:col>4</xdr:col>
      <xdr:colOff>241300</xdr:colOff>
      <xdr:row>33</xdr:row>
      <xdr:rowOff>114300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F38EE406-0BE9-1244-BF02-175466183BF5}"/>
            </a:ext>
          </a:extLst>
        </xdr:cNvPr>
        <xdr:cNvCxnSpPr/>
      </xdr:nvCxnSpPr>
      <xdr:spPr>
        <a:xfrm>
          <a:off x="3835400" y="12623800"/>
          <a:ext cx="1790700" cy="0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266700</xdr:colOff>
      <xdr:row>33</xdr:row>
      <xdr:rowOff>101600</xdr:rowOff>
    </xdr:from>
    <xdr:to>
      <xdr:col>12</xdr:col>
      <xdr:colOff>901700</xdr:colOff>
      <xdr:row>33</xdr:row>
      <xdr:rowOff>101600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83ED4EE7-8545-2447-9A71-0C2B4F642250}"/>
            </a:ext>
          </a:extLst>
        </xdr:cNvPr>
        <xdr:cNvCxnSpPr/>
      </xdr:nvCxnSpPr>
      <xdr:spPr>
        <a:xfrm>
          <a:off x="10325100" y="12611100"/>
          <a:ext cx="3111500" cy="0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101600</xdr:colOff>
      <xdr:row>17</xdr:row>
      <xdr:rowOff>12700</xdr:rowOff>
    </xdr:from>
    <xdr:to>
      <xdr:col>18</xdr:col>
      <xdr:colOff>254000</xdr:colOff>
      <xdr:row>17</xdr:row>
      <xdr:rowOff>12700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ECA2FB52-13F5-7049-A672-955B979F7459}"/>
            </a:ext>
          </a:extLst>
        </xdr:cNvPr>
        <xdr:cNvCxnSpPr/>
      </xdr:nvCxnSpPr>
      <xdr:spPr>
        <a:xfrm>
          <a:off x="18846800" y="7835900"/>
          <a:ext cx="977900" cy="0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317500</xdr:colOff>
      <xdr:row>21</xdr:row>
      <xdr:rowOff>0</xdr:rowOff>
    </xdr:from>
    <xdr:to>
      <xdr:col>20</xdr:col>
      <xdr:colOff>533400</xdr:colOff>
      <xdr:row>33</xdr:row>
      <xdr:rowOff>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4FCEB115-4B30-2741-80AF-86D4000AE28B}"/>
            </a:ext>
          </a:extLst>
        </xdr:cNvPr>
        <xdr:cNvCxnSpPr/>
      </xdr:nvCxnSpPr>
      <xdr:spPr>
        <a:xfrm flipV="1">
          <a:off x="18237200" y="8636000"/>
          <a:ext cx="3517900" cy="3873500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215900</xdr:colOff>
      <xdr:row>7</xdr:row>
      <xdr:rowOff>190500</xdr:rowOff>
    </xdr:from>
    <xdr:to>
      <xdr:col>21</xdr:col>
      <xdr:colOff>482600</xdr:colOff>
      <xdr:row>7</xdr:row>
      <xdr:rowOff>190500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8F5F1F42-3D56-6B4E-A193-EF1C50ABAF8E}"/>
            </a:ext>
          </a:extLst>
        </xdr:cNvPr>
        <xdr:cNvCxnSpPr/>
      </xdr:nvCxnSpPr>
      <xdr:spPr>
        <a:xfrm>
          <a:off x="17310100" y="4318000"/>
          <a:ext cx="5219700" cy="0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127000</xdr:colOff>
      <xdr:row>11</xdr:row>
      <xdr:rowOff>165100</xdr:rowOff>
    </xdr:from>
    <xdr:to>
      <xdr:col>24</xdr:col>
      <xdr:colOff>787400</xdr:colOff>
      <xdr:row>17</xdr:row>
      <xdr:rowOff>38100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9B8338C-90AC-AC4E-A1E1-A55A4A007593}"/>
            </a:ext>
          </a:extLst>
        </xdr:cNvPr>
        <xdr:cNvCxnSpPr/>
      </xdr:nvCxnSpPr>
      <xdr:spPr>
        <a:xfrm flipV="1">
          <a:off x="23825200" y="5105400"/>
          <a:ext cx="1485900" cy="2755900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37</xdr:row>
      <xdr:rowOff>114300</xdr:rowOff>
    </xdr:from>
    <xdr:to>
      <xdr:col>8</xdr:col>
      <xdr:colOff>254000</xdr:colOff>
      <xdr:row>40</xdr:row>
      <xdr:rowOff>63500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124E13A1-E181-7C42-B5ED-58F597018D7D}"/>
            </a:ext>
          </a:extLst>
        </xdr:cNvPr>
        <xdr:cNvCxnSpPr/>
      </xdr:nvCxnSpPr>
      <xdr:spPr>
        <a:xfrm flipV="1">
          <a:off x="8318500" y="11163300"/>
          <a:ext cx="1054100" cy="558800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330200</xdr:colOff>
      <xdr:row>81</xdr:row>
      <xdr:rowOff>25400</xdr:rowOff>
    </xdr:from>
    <xdr:to>
      <xdr:col>6</xdr:col>
      <xdr:colOff>76200</xdr:colOff>
      <xdr:row>81</xdr:row>
      <xdr:rowOff>25400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59D487F2-34CF-1444-9BE4-658C2EA109E4}"/>
            </a:ext>
          </a:extLst>
        </xdr:cNvPr>
        <xdr:cNvCxnSpPr/>
      </xdr:nvCxnSpPr>
      <xdr:spPr>
        <a:xfrm>
          <a:off x="4495800" y="20066000"/>
          <a:ext cx="3048000" cy="0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12700</xdr:colOff>
      <xdr:row>34</xdr:row>
      <xdr:rowOff>114300</xdr:rowOff>
    </xdr:from>
    <xdr:to>
      <xdr:col>31</xdr:col>
      <xdr:colOff>800100</xdr:colOff>
      <xdr:row>34</xdr:row>
      <xdr:rowOff>114300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33EA9B29-B429-9B4F-A6A7-BB89B9F13753}"/>
            </a:ext>
          </a:extLst>
        </xdr:cNvPr>
        <xdr:cNvCxnSpPr/>
      </xdr:nvCxnSpPr>
      <xdr:spPr>
        <a:xfrm>
          <a:off x="27292300" y="10553700"/>
          <a:ext cx="1612900" cy="0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63500</xdr:colOff>
      <xdr:row>79</xdr:row>
      <xdr:rowOff>190500</xdr:rowOff>
    </xdr:from>
    <xdr:to>
      <xdr:col>31</xdr:col>
      <xdr:colOff>25400</xdr:colOff>
      <xdr:row>79</xdr:row>
      <xdr:rowOff>190500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29AA39ED-7929-5945-BC00-A29AA1CEB3B1}"/>
            </a:ext>
          </a:extLst>
        </xdr:cNvPr>
        <xdr:cNvCxnSpPr/>
      </xdr:nvCxnSpPr>
      <xdr:spPr>
        <a:xfrm>
          <a:off x="26517600" y="19824700"/>
          <a:ext cx="1612900" cy="0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279400</xdr:colOff>
      <xdr:row>3</xdr:row>
      <xdr:rowOff>114300</xdr:rowOff>
    </xdr:from>
    <xdr:to>
      <xdr:col>7</xdr:col>
      <xdr:colOff>812800</xdr:colOff>
      <xdr:row>5</xdr:row>
      <xdr:rowOff>38100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B85BC69A-DA29-E748-9E3F-15C36D4195C3}"/>
            </a:ext>
          </a:extLst>
        </xdr:cNvPr>
        <xdr:cNvCxnSpPr/>
      </xdr:nvCxnSpPr>
      <xdr:spPr>
        <a:xfrm>
          <a:off x="7747000" y="4368800"/>
          <a:ext cx="1358900" cy="330200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203200</xdr:colOff>
      <xdr:row>4</xdr:row>
      <xdr:rowOff>152400</xdr:rowOff>
    </xdr:from>
    <xdr:to>
      <xdr:col>28</xdr:col>
      <xdr:colOff>63500</xdr:colOff>
      <xdr:row>4</xdr:row>
      <xdr:rowOff>152400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67859A63-A709-0943-8C42-02AEAC67E6A1}"/>
            </a:ext>
          </a:extLst>
        </xdr:cNvPr>
        <xdr:cNvCxnSpPr/>
      </xdr:nvCxnSpPr>
      <xdr:spPr>
        <a:xfrm>
          <a:off x="15925800" y="4610100"/>
          <a:ext cx="9766300" cy="0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63500</xdr:colOff>
      <xdr:row>38</xdr:row>
      <xdr:rowOff>114300</xdr:rowOff>
    </xdr:from>
    <xdr:to>
      <xdr:col>59</xdr:col>
      <xdr:colOff>76200</xdr:colOff>
      <xdr:row>70</xdr:row>
      <xdr:rowOff>1612900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8829C9DB-6C7D-5624-F534-6132B39335F3}"/>
            </a:ext>
          </a:extLst>
        </xdr:cNvPr>
        <xdr:cNvCxnSpPr/>
      </xdr:nvCxnSpPr>
      <xdr:spPr>
        <a:xfrm flipV="1">
          <a:off x="44678600" y="12636500"/>
          <a:ext cx="6616700" cy="8001000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50800</xdr:colOff>
      <xdr:row>34</xdr:row>
      <xdr:rowOff>101600</xdr:rowOff>
    </xdr:from>
    <xdr:to>
      <xdr:col>55</xdr:col>
      <xdr:colOff>12700</xdr:colOff>
      <xdr:row>34</xdr:row>
      <xdr:rowOff>101600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44EFA9BA-6C8D-3AB7-8C29-B0200FCF482A}"/>
            </a:ext>
          </a:extLst>
        </xdr:cNvPr>
        <xdr:cNvCxnSpPr/>
      </xdr:nvCxnSpPr>
      <xdr:spPr>
        <a:xfrm>
          <a:off x="46316900" y="10541000"/>
          <a:ext cx="1612900" cy="0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75</xdr:col>
      <xdr:colOff>38100</xdr:colOff>
      <xdr:row>33</xdr:row>
      <xdr:rowOff>0</xdr:rowOff>
    </xdr:from>
    <xdr:to>
      <xdr:col>78</xdr:col>
      <xdr:colOff>558800</xdr:colOff>
      <xdr:row>33</xdr:row>
      <xdr:rowOff>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835AF578-F403-674F-B1EE-256BE8F41DE8}"/>
            </a:ext>
          </a:extLst>
        </xdr:cNvPr>
        <xdr:cNvCxnSpPr/>
      </xdr:nvCxnSpPr>
      <xdr:spPr>
        <a:xfrm>
          <a:off x="64465200" y="15671800"/>
          <a:ext cx="2997200" cy="0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127000</xdr:colOff>
      <xdr:row>12</xdr:row>
      <xdr:rowOff>127000</xdr:rowOff>
    </xdr:from>
    <xdr:to>
      <xdr:col>79</xdr:col>
      <xdr:colOff>2578100</xdr:colOff>
      <xdr:row>29</xdr:row>
      <xdr:rowOff>1765300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2CFE7B3F-73AE-A843-A0C3-B669B84927C0}"/>
            </a:ext>
          </a:extLst>
        </xdr:cNvPr>
        <xdr:cNvCxnSpPr/>
      </xdr:nvCxnSpPr>
      <xdr:spPr>
        <a:xfrm>
          <a:off x="8420100" y="8394700"/>
          <a:ext cx="61887100" cy="5092700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tthew Heun" id="{5DB11E9D-7079-564B-99A0-90A62532A110}" userId="S::earmhe@leeds.ac.uk::e3e3a32d-1414-412a-8dc1-6829aa72979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S31" dT="2026-10-04T19:19:03.64" personId="{5DB11E9D-7079-564B-99A0-90A62532A110}" id="{638FCC4E-1C01-EF4C-8A9E-9BE51EFCD58C}">
    <text>Compare to final energy in the Domestic navigation sector. The number here is 513.4 TJ, which is the column sum for Domestic navigation in Y_f. (80.4 TJ from Fuel oil + 433.0 TJ from Gas/diesel oil excl. biofuels = 513.4 TJ). Need to figure out why.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70CD2-8B6E-3940-BFF9-37FBE2713FA3}">
  <dimension ref="A7:AB38"/>
  <sheetViews>
    <sheetView workbookViewId="0">
      <selection activeCell="Z10" sqref="Z10"/>
    </sheetView>
  </sheetViews>
  <sheetFormatPr baseColWidth="10" defaultRowHeight="16" x14ac:dyDescent="0.2"/>
  <cols>
    <col min="1" max="1" width="38.1640625" bestFit="1" customWidth="1"/>
    <col min="6" max="6" width="18" customWidth="1"/>
    <col min="13" max="13" width="38.1640625" bestFit="1" customWidth="1"/>
  </cols>
  <sheetData>
    <row r="7" spans="1:28" ht="229" x14ac:dyDescent="0.2">
      <c r="B7" s="1" t="s">
        <v>2</v>
      </c>
      <c r="C7" s="1" t="s">
        <v>3</v>
      </c>
      <c r="G7" s="1" t="s">
        <v>0</v>
      </c>
      <c r="H7" s="1" t="s">
        <v>5</v>
      </c>
      <c r="N7" s="1" t="s">
        <v>0</v>
      </c>
      <c r="O7" s="1" t="s">
        <v>5</v>
      </c>
      <c r="Z7" s="1" t="s">
        <v>8</v>
      </c>
      <c r="AA7" s="1" t="s">
        <v>14</v>
      </c>
      <c r="AB7" s="1" t="s">
        <v>15</v>
      </c>
    </row>
    <row r="8" spans="1:28" x14ac:dyDescent="0.2">
      <c r="A8" s="2" t="s">
        <v>1</v>
      </c>
      <c r="B8" s="3">
        <v>3503.9998999999998</v>
      </c>
      <c r="C8" s="3">
        <v>175.20079999999999</v>
      </c>
      <c r="F8" s="2" t="s">
        <v>0</v>
      </c>
      <c r="G8" s="6">
        <f>B8</f>
        <v>3503.9998999999998</v>
      </c>
      <c r="H8" s="6">
        <v>0</v>
      </c>
      <c r="M8" s="2" t="s">
        <v>0</v>
      </c>
      <c r="N8" s="6">
        <f>1/G8</f>
        <v>2.8538813599851987E-4</v>
      </c>
      <c r="O8" s="6">
        <v>0</v>
      </c>
      <c r="Y8" s="2" t="s">
        <v>0</v>
      </c>
      <c r="Z8" s="6" cm="1">
        <f t="array" ref="Z8:AB9">MMULT(N8:O9,_xlfn.ANCHORARRAY( U17))</f>
        <v>0.73987645536469027</v>
      </c>
      <c r="AA8" s="6">
        <v>0.20707510210535574</v>
      </c>
      <c r="AB8" s="6">
        <v>5.3048313278128631E-2</v>
      </c>
    </row>
    <row r="9" spans="1:28" x14ac:dyDescent="0.2">
      <c r="B9" s="5" t="s">
        <v>4</v>
      </c>
      <c r="C9" s="5"/>
      <c r="F9" s="2" t="s">
        <v>5</v>
      </c>
      <c r="G9" s="6">
        <v>0</v>
      </c>
      <c r="H9" s="6">
        <f>C8</f>
        <v>175.20079999999999</v>
      </c>
      <c r="M9" s="2" t="s">
        <v>5</v>
      </c>
      <c r="N9" s="6">
        <v>0</v>
      </c>
      <c r="O9" s="6">
        <f>1/H9</f>
        <v>5.7077364943539073E-3</v>
      </c>
      <c r="Y9" s="2" t="s">
        <v>5</v>
      </c>
      <c r="Z9" s="6">
        <v>0</v>
      </c>
      <c r="AA9" s="6">
        <v>0</v>
      </c>
      <c r="AB9" s="6">
        <v>0</v>
      </c>
    </row>
    <row r="10" spans="1:28" x14ac:dyDescent="0.2">
      <c r="G10" s="5" t="s">
        <v>6</v>
      </c>
      <c r="H10" s="5"/>
      <c r="N10" s="5" t="s">
        <v>7</v>
      </c>
      <c r="O10" s="5"/>
      <c r="Z10" s="11" t="s">
        <v>25</v>
      </c>
      <c r="AA10" s="11"/>
      <c r="AB10" s="11"/>
    </row>
    <row r="11" spans="1:28" x14ac:dyDescent="0.2">
      <c r="Z11" t="s">
        <v>24</v>
      </c>
    </row>
    <row r="16" spans="1:28" ht="147" x14ac:dyDescent="0.2">
      <c r="B16" s="1" t="s">
        <v>2</v>
      </c>
      <c r="C16" s="1" t="s">
        <v>3</v>
      </c>
      <c r="G16" s="1" t="s">
        <v>11</v>
      </c>
      <c r="H16" s="1" t="s">
        <v>13</v>
      </c>
      <c r="I16" s="1" t="s">
        <v>12</v>
      </c>
      <c r="J16" s="1" t="s">
        <v>1</v>
      </c>
      <c r="K16" s="1"/>
      <c r="L16" s="1"/>
      <c r="N16" s="1" t="s">
        <v>8</v>
      </c>
      <c r="O16" s="1" t="s">
        <v>14</v>
      </c>
      <c r="P16" s="1" t="s">
        <v>15</v>
      </c>
      <c r="Q16" s="1" t="s">
        <v>1</v>
      </c>
      <c r="U16" s="1" t="s">
        <v>8</v>
      </c>
      <c r="V16" s="1" t="s">
        <v>14</v>
      </c>
      <c r="W16" s="1" t="s">
        <v>15</v>
      </c>
      <c r="X16" s="1"/>
    </row>
    <row r="17" spans="1:24" x14ac:dyDescent="0.2">
      <c r="A17" s="2" t="s">
        <v>11</v>
      </c>
      <c r="B17" s="9">
        <v>1213.8820000000001</v>
      </c>
      <c r="C17" s="7">
        <v>0</v>
      </c>
      <c r="F17" s="2" t="s">
        <v>2</v>
      </c>
      <c r="G17" s="6" cm="1">
        <f t="array" ref="G17:J18">TRANSPOSE(B17:C20)</f>
        <v>1213.8820000000001</v>
      </c>
      <c r="H17" s="6">
        <v>339.73880000000003</v>
      </c>
      <c r="I17" s="6">
        <v>87.03398</v>
      </c>
      <c r="J17" s="6">
        <v>0</v>
      </c>
      <c r="K17" s="10"/>
      <c r="L17" s="10"/>
      <c r="M17" s="2" t="s">
        <v>2</v>
      </c>
      <c r="N17" s="6">
        <f>G17</f>
        <v>1213.8820000000001</v>
      </c>
      <c r="O17" s="6">
        <f t="shared" ref="O17:P17" si="0">H17</f>
        <v>339.73880000000003</v>
      </c>
      <c r="P17" s="6">
        <f t="shared" si="0"/>
        <v>87.03398</v>
      </c>
      <c r="Q17" s="6">
        <v>0</v>
      </c>
      <c r="T17" s="2" t="s">
        <v>2</v>
      </c>
      <c r="U17" s="6" cm="1">
        <f t="array" ref="U17:W18">MMULT(N17:Q18, N33:P36)</f>
        <v>2592.527025610229</v>
      </c>
      <c r="V17" s="6">
        <v>725.59113706965627</v>
      </c>
      <c r="W17" s="6">
        <v>185.88128442173138</v>
      </c>
      <c r="X17" s="10"/>
    </row>
    <row r="18" spans="1:24" x14ac:dyDescent="0.2">
      <c r="A18" s="2" t="s">
        <v>13</v>
      </c>
      <c r="B18" s="9">
        <v>339.73880000000003</v>
      </c>
      <c r="C18" s="7">
        <v>0</v>
      </c>
      <c r="F18" s="2" t="s">
        <v>3</v>
      </c>
      <c r="G18" s="6">
        <v>0</v>
      </c>
      <c r="H18" s="6">
        <v>0</v>
      </c>
      <c r="I18" s="6">
        <v>0</v>
      </c>
      <c r="J18" s="6">
        <v>175.20079999999999</v>
      </c>
      <c r="K18" s="10"/>
      <c r="L18" s="10"/>
      <c r="M18" s="2" t="s">
        <v>3</v>
      </c>
      <c r="N18" s="6">
        <v>0</v>
      </c>
      <c r="O18" s="6">
        <v>0</v>
      </c>
      <c r="P18" s="6">
        <v>0</v>
      </c>
      <c r="Q18" s="6">
        <f>J18</f>
        <v>175.20079999999999</v>
      </c>
      <c r="T18" s="2" t="s">
        <v>3</v>
      </c>
      <c r="U18" s="6">
        <v>0</v>
      </c>
      <c r="V18" s="6">
        <v>0</v>
      </c>
      <c r="W18" s="6">
        <v>0</v>
      </c>
      <c r="X18" s="10"/>
    </row>
    <row r="19" spans="1:24" x14ac:dyDescent="0.2">
      <c r="A19" s="2" t="s">
        <v>12</v>
      </c>
      <c r="B19" s="9">
        <v>87.03398</v>
      </c>
      <c r="C19" s="7">
        <v>0</v>
      </c>
      <c r="G19" s="5" t="s">
        <v>17</v>
      </c>
      <c r="H19" s="5"/>
      <c r="I19" s="5"/>
      <c r="J19" s="5"/>
      <c r="K19" s="8"/>
      <c r="L19" s="8"/>
      <c r="N19" s="5" t="s">
        <v>17</v>
      </c>
      <c r="O19" s="5"/>
      <c r="P19" s="5"/>
      <c r="Q19" s="5"/>
      <c r="U19" s="5" t="s">
        <v>21</v>
      </c>
      <c r="V19" s="5"/>
      <c r="W19" s="5"/>
      <c r="X19" s="11"/>
    </row>
    <row r="20" spans="1:24" x14ac:dyDescent="0.2">
      <c r="A20" s="2" t="s">
        <v>1</v>
      </c>
      <c r="B20" s="7">
        <v>0</v>
      </c>
      <c r="C20" s="7">
        <v>175.20079999999999</v>
      </c>
      <c r="N20" s="4" t="s">
        <v>18</v>
      </c>
      <c r="O20" s="4"/>
      <c r="P20" s="4"/>
      <c r="Q20" s="4"/>
      <c r="U20" s="12" t="s">
        <v>22</v>
      </c>
      <c r="V20" s="12"/>
      <c r="W20" s="12"/>
      <c r="X20" s="12"/>
    </row>
    <row r="21" spans="1:24" x14ac:dyDescent="0.2">
      <c r="B21" s="5" t="s">
        <v>16</v>
      </c>
      <c r="C21" s="5"/>
    </row>
    <row r="31" spans="1:24" ht="129" x14ac:dyDescent="0.2">
      <c r="B31" s="1" t="s">
        <v>9</v>
      </c>
      <c r="G31" s="1" t="s">
        <v>8</v>
      </c>
      <c r="H31" s="1" t="s">
        <v>14</v>
      </c>
      <c r="I31" s="1" t="s">
        <v>15</v>
      </c>
      <c r="N31" s="1" t="s">
        <v>8</v>
      </c>
      <c r="O31" s="1" t="s">
        <v>14</v>
      </c>
      <c r="P31" s="1" t="s">
        <v>15</v>
      </c>
      <c r="Q31" s="1"/>
    </row>
    <row r="33" spans="1:17" x14ac:dyDescent="0.2">
      <c r="A33" s="2" t="s">
        <v>8</v>
      </c>
      <c r="B33" s="7">
        <v>0.46822346999999997</v>
      </c>
      <c r="F33" s="2" t="s">
        <v>8</v>
      </c>
      <c r="G33" s="6">
        <f>B33</f>
        <v>0.46822346999999997</v>
      </c>
      <c r="H33" s="6">
        <v>0</v>
      </c>
      <c r="I33" s="6">
        <v>0</v>
      </c>
      <c r="M33" s="2" t="s">
        <v>8</v>
      </c>
      <c r="N33" s="6">
        <f>1/G33</f>
        <v>2.1357323245671562</v>
      </c>
      <c r="O33" s="6">
        <v>0</v>
      </c>
      <c r="P33" s="6">
        <v>0</v>
      </c>
      <c r="Q33" s="10"/>
    </row>
    <row r="34" spans="1:17" x14ac:dyDescent="0.2">
      <c r="A34" s="2" t="s">
        <v>14</v>
      </c>
      <c r="B34" s="7">
        <v>0.46822346999999997</v>
      </c>
      <c r="F34" s="2" t="s">
        <v>14</v>
      </c>
      <c r="G34" s="6">
        <v>0</v>
      </c>
      <c r="H34" s="6">
        <f>B34</f>
        <v>0.46822346999999997</v>
      </c>
      <c r="I34" s="6">
        <v>0</v>
      </c>
      <c r="M34" s="2" t="s">
        <v>14</v>
      </c>
      <c r="N34" s="6">
        <v>0</v>
      </c>
      <c r="O34" s="6">
        <f>1/H34</f>
        <v>2.1357323245671562</v>
      </c>
      <c r="P34" s="6">
        <v>0</v>
      </c>
      <c r="Q34" s="10"/>
    </row>
    <row r="35" spans="1:17" x14ac:dyDescent="0.2">
      <c r="A35" s="2" t="s">
        <v>15</v>
      </c>
      <c r="B35" s="7">
        <v>0.46822346999999997</v>
      </c>
      <c r="F35" s="2" t="s">
        <v>15</v>
      </c>
      <c r="G35" s="6">
        <v>0</v>
      </c>
      <c r="H35" s="6">
        <v>0</v>
      </c>
      <c r="I35" s="6">
        <f>B35</f>
        <v>0.46822346999999997</v>
      </c>
      <c r="M35" s="2" t="s">
        <v>15</v>
      </c>
      <c r="N35" s="6">
        <v>0</v>
      </c>
      <c r="O35" s="6">
        <v>0</v>
      </c>
      <c r="P35" s="6">
        <f>1/I35</f>
        <v>2.1357323245671562</v>
      </c>
      <c r="Q35" s="10"/>
    </row>
    <row r="36" spans="1:17" x14ac:dyDescent="0.2">
      <c r="B36" s="8" t="s">
        <v>10</v>
      </c>
      <c r="G36" s="5" t="s">
        <v>19</v>
      </c>
      <c r="H36" s="5"/>
      <c r="I36" s="5"/>
      <c r="M36" s="2" t="s">
        <v>1</v>
      </c>
      <c r="N36" s="6">
        <v>0</v>
      </c>
      <c r="O36" s="6">
        <v>0</v>
      </c>
      <c r="P36" s="6">
        <v>0</v>
      </c>
      <c r="Q36" s="10"/>
    </row>
    <row r="37" spans="1:17" x14ac:dyDescent="0.2">
      <c r="N37" s="5" t="s">
        <v>20</v>
      </c>
      <c r="O37" s="5"/>
      <c r="P37" s="5"/>
      <c r="Q37" s="11"/>
    </row>
    <row r="38" spans="1:17" x14ac:dyDescent="0.2">
      <c r="N38" s="12" t="s">
        <v>23</v>
      </c>
      <c r="O38" s="12"/>
      <c r="P38" s="12"/>
      <c r="Q38" s="12"/>
    </row>
  </sheetData>
  <mergeCells count="10">
    <mergeCell ref="G36:I36"/>
    <mergeCell ref="N37:P37"/>
    <mergeCell ref="U19:W19"/>
    <mergeCell ref="B9:C9"/>
    <mergeCell ref="G10:H10"/>
    <mergeCell ref="N10:O10"/>
    <mergeCell ref="B21:C21"/>
    <mergeCell ref="G19:J19"/>
    <mergeCell ref="N19:Q19"/>
    <mergeCell ref="N20:Q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181D5-361B-AB4A-B6A7-B6C14CEC1F09}">
  <dimension ref="A2:DR93"/>
  <sheetViews>
    <sheetView tabSelected="1" topLeftCell="CC2" workbookViewId="0">
      <selection activeCell="DQ35" sqref="DQ35"/>
    </sheetView>
  </sheetViews>
  <sheetFormatPr baseColWidth="10" defaultRowHeight="16" x14ac:dyDescent="0.2"/>
  <cols>
    <col min="1" max="1" width="43.83203125" bestFit="1" customWidth="1"/>
    <col min="43" max="75" width="10.83203125" customWidth="1"/>
    <col min="80" max="80" width="45.1640625" bestFit="1" customWidth="1"/>
  </cols>
  <sheetData>
    <row r="2" spans="1:39" ht="271" x14ac:dyDescent="0.2">
      <c r="B2" s="1" t="s">
        <v>28</v>
      </c>
      <c r="C2" s="1" t="s">
        <v>29</v>
      </c>
      <c r="D2" s="1" t="s">
        <v>30</v>
      </c>
      <c r="E2" s="1" t="s">
        <v>26</v>
      </c>
      <c r="F2" s="1" t="s">
        <v>31</v>
      </c>
      <c r="G2" s="1" t="s">
        <v>32</v>
      </c>
      <c r="K2" s="1" t="s">
        <v>33</v>
      </c>
      <c r="L2" s="1" t="s">
        <v>34</v>
      </c>
      <c r="M2" s="1" t="s">
        <v>35</v>
      </c>
      <c r="N2" s="1" t="s">
        <v>36</v>
      </c>
      <c r="O2" s="1" t="s">
        <v>37</v>
      </c>
      <c r="P2" s="1" t="s">
        <v>38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</row>
    <row r="3" spans="1:39" x14ac:dyDescent="0.2">
      <c r="A3" s="2" t="s">
        <v>27</v>
      </c>
      <c r="B3" s="14">
        <v>80.399100000000004</v>
      </c>
      <c r="C3" s="14">
        <v>7437</v>
      </c>
      <c r="D3" s="15">
        <v>924.60040000000004</v>
      </c>
      <c r="E3" s="15">
        <v>3698.4009999999998</v>
      </c>
      <c r="F3" s="15">
        <v>200.9999</v>
      </c>
      <c r="G3" s="15">
        <v>321.60070000000002</v>
      </c>
      <c r="J3" s="2" t="s">
        <v>33</v>
      </c>
      <c r="K3" s="6">
        <f>B3</f>
        <v>80.399100000000004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AG3" s="2" t="s">
        <v>33</v>
      </c>
      <c r="AH3" s="6">
        <f>1/K3</f>
        <v>1.2437950176059184E-2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</row>
    <row r="4" spans="1:39" x14ac:dyDescent="0.2">
      <c r="B4" s="5" t="s">
        <v>4</v>
      </c>
      <c r="C4" s="5"/>
      <c r="D4" s="5"/>
      <c r="E4" s="5"/>
      <c r="F4" s="5"/>
      <c r="G4" s="5"/>
      <c r="J4" s="2" t="s">
        <v>34</v>
      </c>
      <c r="K4" s="6">
        <v>0</v>
      </c>
      <c r="L4" s="6">
        <f>C3</f>
        <v>7437</v>
      </c>
      <c r="M4" s="6">
        <v>0</v>
      </c>
      <c r="N4" s="6">
        <v>0</v>
      </c>
      <c r="O4" s="6">
        <v>0</v>
      </c>
      <c r="P4" s="6">
        <v>0</v>
      </c>
      <c r="AG4" s="2" t="s">
        <v>34</v>
      </c>
      <c r="AH4" s="6">
        <v>0</v>
      </c>
      <c r="AI4" s="6">
        <f>1/L4</f>
        <v>1.344628210299852E-4</v>
      </c>
      <c r="AJ4" s="6">
        <v>0</v>
      </c>
      <c r="AK4" s="6">
        <v>0</v>
      </c>
      <c r="AL4" s="6">
        <v>0</v>
      </c>
      <c r="AM4" s="6">
        <v>0</v>
      </c>
    </row>
    <row r="5" spans="1:39" x14ac:dyDescent="0.2">
      <c r="J5" s="2" t="s">
        <v>35</v>
      </c>
      <c r="K5" s="6">
        <v>0</v>
      </c>
      <c r="L5" s="6">
        <v>0</v>
      </c>
      <c r="M5" s="6">
        <f>D3</f>
        <v>924.60040000000004</v>
      </c>
      <c r="N5" s="6">
        <v>0</v>
      </c>
      <c r="O5" s="6">
        <v>0</v>
      </c>
      <c r="P5" s="6">
        <v>0</v>
      </c>
      <c r="AG5" s="2" t="s">
        <v>35</v>
      </c>
      <c r="AH5" s="6">
        <v>0</v>
      </c>
      <c r="AI5" s="6">
        <v>0</v>
      </c>
      <c r="AJ5" s="6">
        <f>1/M5</f>
        <v>1.0815483099509799E-3</v>
      </c>
      <c r="AK5" s="6">
        <v>0</v>
      </c>
      <c r="AL5" s="6">
        <v>0</v>
      </c>
      <c r="AM5" s="6">
        <v>0</v>
      </c>
    </row>
    <row r="6" spans="1:39" x14ac:dyDescent="0.2">
      <c r="J6" s="2" t="s">
        <v>36</v>
      </c>
      <c r="K6" s="6">
        <v>0</v>
      </c>
      <c r="L6" s="6">
        <v>0</v>
      </c>
      <c r="M6" s="6">
        <v>0</v>
      </c>
      <c r="N6" s="6">
        <f>E3</f>
        <v>3698.4009999999998</v>
      </c>
      <c r="O6" s="6">
        <v>0</v>
      </c>
      <c r="P6" s="6">
        <v>0</v>
      </c>
      <c r="AG6" s="2" t="s">
        <v>36</v>
      </c>
      <c r="AH6" s="6">
        <v>0</v>
      </c>
      <c r="AI6" s="6">
        <v>0</v>
      </c>
      <c r="AJ6" s="6">
        <v>0</v>
      </c>
      <c r="AK6" s="6">
        <f>1/N6</f>
        <v>2.7038712135325511E-4</v>
      </c>
      <c r="AL6" s="6">
        <v>0</v>
      </c>
      <c r="AM6" s="6">
        <v>0</v>
      </c>
    </row>
    <row r="7" spans="1:39" x14ac:dyDescent="0.2">
      <c r="J7" s="2" t="s">
        <v>37</v>
      </c>
      <c r="K7" s="6">
        <v>0</v>
      </c>
      <c r="L7" s="6">
        <v>0</v>
      </c>
      <c r="M7" s="6">
        <v>0</v>
      </c>
      <c r="N7" s="6">
        <v>0</v>
      </c>
      <c r="O7" s="6">
        <f>F3</f>
        <v>200.9999</v>
      </c>
      <c r="P7" s="6">
        <v>0</v>
      </c>
      <c r="AG7" s="2" t="s">
        <v>37</v>
      </c>
      <c r="AH7" s="6">
        <v>0</v>
      </c>
      <c r="AI7" s="6">
        <v>0</v>
      </c>
      <c r="AJ7" s="6">
        <v>0</v>
      </c>
      <c r="AK7" s="6">
        <v>0</v>
      </c>
      <c r="AL7" s="6">
        <f>1/O7</f>
        <v>4.9751268532969416E-3</v>
      </c>
      <c r="AM7" s="6">
        <v>0</v>
      </c>
    </row>
    <row r="8" spans="1:39" x14ac:dyDescent="0.2">
      <c r="J8" s="2" t="s">
        <v>38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f>G3</f>
        <v>321.60070000000002</v>
      </c>
      <c r="AG8" s="2" t="s">
        <v>38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f>1/P8</f>
        <v>3.1094459682457156E-3</v>
      </c>
    </row>
    <row r="9" spans="1:39" x14ac:dyDescent="0.2">
      <c r="K9" s="5" t="s">
        <v>6</v>
      </c>
      <c r="L9" s="5"/>
      <c r="M9" s="5"/>
      <c r="N9" s="5"/>
      <c r="O9" s="5"/>
      <c r="P9" s="5"/>
      <c r="AH9" s="5" t="s">
        <v>7</v>
      </c>
      <c r="AI9" s="5"/>
      <c r="AJ9" s="5"/>
      <c r="AK9" s="5"/>
      <c r="AL9" s="5"/>
      <c r="AM9" s="5"/>
    </row>
    <row r="10" spans="1:39" x14ac:dyDescent="0.2">
      <c r="K10" s="8"/>
      <c r="L10" s="8"/>
      <c r="M10" s="8"/>
      <c r="N10" s="8"/>
      <c r="O10" s="8"/>
      <c r="P10" s="8"/>
      <c r="AH10" s="8"/>
      <c r="AI10" s="8"/>
      <c r="AJ10" s="8"/>
      <c r="AK10" s="8"/>
      <c r="AL10" s="8"/>
      <c r="AM10" s="8"/>
    </row>
    <row r="11" spans="1:39" ht="220" x14ac:dyDescent="0.2">
      <c r="B11" s="1" t="s">
        <v>28</v>
      </c>
      <c r="C11" s="1" t="s">
        <v>29</v>
      </c>
      <c r="D11" s="1" t="s">
        <v>30</v>
      </c>
      <c r="E11" s="1" t="s">
        <v>39</v>
      </c>
      <c r="F11" s="1" t="s">
        <v>31</v>
      </c>
      <c r="G11" s="1" t="s">
        <v>32</v>
      </c>
      <c r="K11" s="8"/>
      <c r="L11" s="8"/>
      <c r="M11" s="8"/>
      <c r="N11" s="8"/>
      <c r="O11" s="8"/>
      <c r="P11" s="8"/>
      <c r="AH11" s="8"/>
      <c r="AI11" s="8"/>
      <c r="AJ11" s="8"/>
      <c r="AK11" s="8"/>
      <c r="AL11" s="8"/>
      <c r="AM11" s="8"/>
    </row>
    <row r="12" spans="1:39" x14ac:dyDescent="0.2">
      <c r="A12" s="2" t="s">
        <v>33</v>
      </c>
      <c r="B12" s="6">
        <v>0.156601895605359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K12" s="8"/>
      <c r="L12" s="8"/>
      <c r="M12" s="8"/>
      <c r="N12" s="8"/>
      <c r="O12" s="8"/>
      <c r="P12" s="8"/>
      <c r="AH12" s="8"/>
      <c r="AI12" s="8"/>
      <c r="AJ12" s="8"/>
      <c r="AK12" s="8"/>
      <c r="AL12" s="8"/>
      <c r="AM12" s="8"/>
    </row>
    <row r="13" spans="1:39" x14ac:dyDescent="0.2">
      <c r="A13" s="2" t="s">
        <v>34</v>
      </c>
      <c r="B13" s="6">
        <v>0</v>
      </c>
      <c r="C13" s="6">
        <v>1</v>
      </c>
      <c r="D13" s="6">
        <v>0</v>
      </c>
      <c r="E13" s="6">
        <v>0</v>
      </c>
      <c r="F13" s="6">
        <v>0</v>
      </c>
      <c r="G13" s="6">
        <v>0</v>
      </c>
      <c r="K13" s="8"/>
      <c r="L13" s="8"/>
      <c r="M13" s="8"/>
      <c r="N13" s="8"/>
      <c r="O13" s="8"/>
      <c r="P13" s="8"/>
      <c r="AH13" s="8"/>
      <c r="AI13" s="8"/>
      <c r="AJ13" s="8"/>
      <c r="AK13" s="8"/>
      <c r="AL13" s="8"/>
      <c r="AM13" s="8"/>
    </row>
    <row r="14" spans="1:39" x14ac:dyDescent="0.2">
      <c r="A14" s="2" t="s">
        <v>35</v>
      </c>
      <c r="B14" s="6">
        <v>0</v>
      </c>
      <c r="C14" s="6">
        <v>0</v>
      </c>
      <c r="D14" s="6">
        <v>1</v>
      </c>
      <c r="E14" s="6">
        <v>0</v>
      </c>
      <c r="F14" s="6">
        <v>0</v>
      </c>
      <c r="G14" s="6">
        <v>0</v>
      </c>
      <c r="K14" s="8"/>
      <c r="L14" s="8"/>
      <c r="M14" s="8"/>
      <c r="N14" s="8"/>
      <c r="O14" s="8"/>
      <c r="P14" s="8"/>
      <c r="AH14" s="8"/>
      <c r="AI14" s="8"/>
      <c r="AJ14" s="8"/>
      <c r="AK14" s="8"/>
      <c r="AL14" s="8"/>
      <c r="AM14" s="8"/>
    </row>
    <row r="15" spans="1:39" x14ac:dyDescent="0.2">
      <c r="A15" s="2" t="s">
        <v>83</v>
      </c>
      <c r="B15" s="6">
        <v>0</v>
      </c>
      <c r="C15" s="6">
        <v>0</v>
      </c>
      <c r="D15" s="6">
        <v>0</v>
      </c>
      <c r="E15" s="6">
        <v>0.299179764492774</v>
      </c>
      <c r="F15" s="6">
        <v>0</v>
      </c>
      <c r="G15" s="6">
        <v>0</v>
      </c>
      <c r="K15" s="8"/>
      <c r="L15" s="8"/>
      <c r="M15" s="8"/>
      <c r="N15" s="8"/>
      <c r="O15" s="8"/>
      <c r="P15" s="8"/>
      <c r="AH15" s="8"/>
      <c r="AI15" s="8"/>
      <c r="AJ15" s="8"/>
      <c r="AK15" s="8"/>
      <c r="AL15" s="8"/>
      <c r="AM15" s="8"/>
    </row>
    <row r="16" spans="1:39" x14ac:dyDescent="0.2">
      <c r="A16" s="2" t="s">
        <v>37</v>
      </c>
      <c r="B16" s="6">
        <v>0</v>
      </c>
      <c r="C16" s="6">
        <v>0</v>
      </c>
      <c r="D16" s="6">
        <v>0</v>
      </c>
      <c r="E16" s="6">
        <v>0</v>
      </c>
      <c r="F16" s="6">
        <v>0.31703514265326699</v>
      </c>
      <c r="G16" s="6">
        <v>0</v>
      </c>
      <c r="K16" s="8"/>
      <c r="L16" s="8"/>
      <c r="M16" s="8"/>
      <c r="N16" s="8"/>
      <c r="O16" s="8"/>
      <c r="P16" s="8"/>
      <c r="AH16" s="8"/>
      <c r="AI16" s="8"/>
      <c r="AJ16" s="8"/>
      <c r="AK16" s="8"/>
      <c r="AL16" s="8"/>
      <c r="AM16" s="8"/>
    </row>
    <row r="17" spans="1:122" x14ac:dyDescent="0.2">
      <c r="A17" s="2" t="s">
        <v>38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1</v>
      </c>
      <c r="K17" s="8"/>
      <c r="L17" s="8"/>
      <c r="M17" s="8"/>
      <c r="N17" s="8"/>
      <c r="O17" s="8"/>
      <c r="P17" s="8"/>
      <c r="AH17" s="8"/>
      <c r="AI17" s="8"/>
      <c r="AJ17" s="8"/>
      <c r="AK17" s="8"/>
      <c r="AL17" s="8"/>
      <c r="AM17" s="8"/>
    </row>
    <row r="18" spans="1:122" x14ac:dyDescent="0.2">
      <c r="A18" s="2"/>
      <c r="B18" s="16" t="s">
        <v>92</v>
      </c>
      <c r="C18" s="16"/>
      <c r="D18" s="16"/>
      <c r="E18" s="16"/>
      <c r="F18" s="16"/>
      <c r="G18" s="16"/>
      <c r="K18" s="8"/>
      <c r="L18" s="8"/>
      <c r="M18" s="8"/>
      <c r="N18" s="8"/>
      <c r="O18" s="8"/>
      <c r="P18" s="8"/>
      <c r="AH18" s="8"/>
      <c r="AI18" s="8"/>
      <c r="AJ18" s="8"/>
      <c r="AK18" s="8"/>
      <c r="AL18" s="8"/>
      <c r="AM18" s="8"/>
    </row>
    <row r="19" spans="1:122" x14ac:dyDescent="0.2">
      <c r="A19" s="2"/>
      <c r="B19" s="17" t="s">
        <v>84</v>
      </c>
      <c r="C19" s="10"/>
      <c r="D19" s="10"/>
      <c r="E19" s="10"/>
      <c r="F19" s="10"/>
      <c r="G19" s="10"/>
      <c r="K19" s="8"/>
      <c r="L19" s="8"/>
      <c r="M19" s="8"/>
      <c r="N19" s="8"/>
      <c r="O19" s="8"/>
      <c r="P19" s="8"/>
      <c r="AH19" s="8"/>
      <c r="AI19" s="8"/>
      <c r="AJ19" s="8"/>
      <c r="AK19" s="8"/>
      <c r="AL19" s="8"/>
      <c r="AM19" s="8"/>
    </row>
    <row r="20" spans="1:122" x14ac:dyDescent="0.2">
      <c r="A20" s="2"/>
      <c r="B20" s="17" t="s">
        <v>85</v>
      </c>
      <c r="C20" s="10"/>
      <c r="D20" s="10"/>
      <c r="E20" s="10"/>
      <c r="F20" s="10"/>
      <c r="G20" s="10"/>
      <c r="K20" s="8"/>
      <c r="L20" s="8"/>
      <c r="M20" s="8"/>
      <c r="N20" s="8"/>
      <c r="O20" s="8"/>
      <c r="P20" s="8"/>
      <c r="AH20" s="8"/>
      <c r="AI20" s="8"/>
      <c r="AJ20" s="8"/>
      <c r="AK20" s="8"/>
      <c r="AL20" s="8"/>
      <c r="AM20" s="8"/>
    </row>
    <row r="21" spans="1:122" x14ac:dyDescent="0.2">
      <c r="A21" s="2"/>
      <c r="B21" s="17" t="s">
        <v>86</v>
      </c>
      <c r="C21" s="10"/>
      <c r="D21" s="10"/>
      <c r="E21" s="10"/>
      <c r="F21" s="10"/>
      <c r="G21" s="10"/>
      <c r="K21" s="8"/>
      <c r="L21" s="8"/>
      <c r="M21" s="8"/>
      <c r="N21" s="8"/>
      <c r="O21" s="8"/>
      <c r="P21" s="8"/>
      <c r="AH21" s="8"/>
      <c r="AI21" s="8"/>
      <c r="AJ21" s="8"/>
      <c r="AK21" s="8"/>
      <c r="AL21" s="8"/>
      <c r="AM21" s="8"/>
    </row>
    <row r="22" spans="1:122" x14ac:dyDescent="0.2">
      <c r="A22" s="2"/>
      <c r="B22" s="17" t="s">
        <v>87</v>
      </c>
      <c r="C22" s="10"/>
      <c r="D22" s="10"/>
      <c r="E22" s="10"/>
      <c r="F22" s="10"/>
      <c r="G22" s="10"/>
      <c r="K22" s="8"/>
      <c r="L22" s="8"/>
      <c r="M22" s="8"/>
      <c r="N22" s="8"/>
      <c r="O22" s="8"/>
      <c r="P22" s="8"/>
      <c r="AH22" s="8"/>
      <c r="AI22" s="8"/>
      <c r="AJ22" s="8"/>
      <c r="AK22" s="8"/>
      <c r="AL22" s="8"/>
      <c r="AM22" s="8"/>
    </row>
    <row r="23" spans="1:122" x14ac:dyDescent="0.2">
      <c r="B23" s="17" t="s">
        <v>88</v>
      </c>
      <c r="C23" s="13"/>
      <c r="D23" s="13"/>
      <c r="E23" s="13"/>
      <c r="F23" s="13"/>
      <c r="G23" s="13"/>
      <c r="K23" s="8"/>
      <c r="L23" s="8"/>
      <c r="M23" s="8"/>
      <c r="N23" s="8"/>
      <c r="O23" s="8"/>
      <c r="P23" s="8"/>
      <c r="AH23" s="8"/>
      <c r="AI23" s="8"/>
      <c r="AJ23" s="8"/>
      <c r="AK23" s="8"/>
      <c r="AL23" s="8"/>
      <c r="AM23" s="8"/>
    </row>
    <row r="24" spans="1:122" x14ac:dyDescent="0.2">
      <c r="B24" s="17" t="s">
        <v>89</v>
      </c>
      <c r="C24" s="13"/>
      <c r="D24" s="13"/>
      <c r="E24" s="13"/>
      <c r="F24" s="13"/>
      <c r="G24" s="13"/>
      <c r="K24" s="8"/>
      <c r="L24" s="8"/>
      <c r="M24" s="8"/>
      <c r="N24" s="8"/>
      <c r="O24" s="8"/>
      <c r="P24" s="8"/>
      <c r="AH24" s="8"/>
      <c r="AI24" s="8"/>
      <c r="AJ24" s="8"/>
      <c r="AK24" s="8"/>
      <c r="AL24" s="8"/>
      <c r="AM24" s="8"/>
    </row>
    <row r="25" spans="1:122" x14ac:dyDescent="0.2">
      <c r="B25" s="17" t="s">
        <v>90</v>
      </c>
      <c r="C25" s="13"/>
      <c r="D25" s="13"/>
      <c r="E25" s="13"/>
      <c r="F25" s="13"/>
      <c r="G25" s="13"/>
      <c r="K25" s="8"/>
      <c r="L25" s="8"/>
      <c r="M25" s="8"/>
      <c r="N25" s="8"/>
      <c r="O25" s="8"/>
      <c r="P25" s="8"/>
      <c r="AH25" s="8"/>
      <c r="AI25" s="8"/>
      <c r="AJ25" s="8"/>
      <c r="AK25" s="8"/>
      <c r="AL25" s="8"/>
      <c r="AM25" s="8"/>
    </row>
    <row r="30" spans="1:122" ht="263" x14ac:dyDescent="0.2">
      <c r="B30" s="1" t="s">
        <v>28</v>
      </c>
      <c r="C30" s="1" t="s">
        <v>29</v>
      </c>
      <c r="D30" s="1" t="s">
        <v>30</v>
      </c>
      <c r="E30" s="1" t="s">
        <v>39</v>
      </c>
      <c r="F30" s="1" t="s">
        <v>31</v>
      </c>
      <c r="G30" s="1" t="s">
        <v>32</v>
      </c>
      <c r="K30" s="1" t="s">
        <v>27</v>
      </c>
      <c r="L30" s="1" t="s">
        <v>40</v>
      </c>
      <c r="M30" s="1" t="s">
        <v>41</v>
      </c>
      <c r="N30" s="1" t="s">
        <v>42</v>
      </c>
      <c r="O30" s="1" t="s">
        <v>43</v>
      </c>
      <c r="P30" s="1" t="s">
        <v>44</v>
      </c>
      <c r="Q30" s="1" t="s">
        <v>45</v>
      </c>
      <c r="R30" s="1" t="s">
        <v>46</v>
      </c>
      <c r="S30" s="1" t="s">
        <v>47</v>
      </c>
      <c r="T30" s="1" t="s">
        <v>48</v>
      </c>
      <c r="U30" s="1" t="s">
        <v>49</v>
      </c>
      <c r="V30" s="1" t="s">
        <v>50</v>
      </c>
      <c r="W30" s="1" t="s">
        <v>51</v>
      </c>
      <c r="X30" s="1" t="s">
        <v>52</v>
      </c>
      <c r="Y30" s="1" t="s">
        <v>53</v>
      </c>
      <c r="Z30" s="1" t="s">
        <v>54</v>
      </c>
      <c r="AA30" s="1" t="s">
        <v>55</v>
      </c>
      <c r="AB30" s="1" t="s">
        <v>56</v>
      </c>
      <c r="AC30" s="1" t="s">
        <v>57</v>
      </c>
      <c r="AD30" s="1" t="s">
        <v>58</v>
      </c>
      <c r="AH30" s="1" t="s">
        <v>27</v>
      </c>
      <c r="AI30" s="1" t="s">
        <v>60</v>
      </c>
      <c r="AJ30" s="1" t="s">
        <v>61</v>
      </c>
      <c r="AK30" s="1" t="s">
        <v>62</v>
      </c>
      <c r="AL30" s="1" t="s">
        <v>63</v>
      </c>
      <c r="AM30" s="1" t="s">
        <v>64</v>
      </c>
      <c r="AN30" s="1" t="s">
        <v>65</v>
      </c>
      <c r="AO30" s="1" t="s">
        <v>66</v>
      </c>
      <c r="AP30" s="1" t="s">
        <v>67</v>
      </c>
      <c r="AQ30" s="1" t="s">
        <v>68</v>
      </c>
      <c r="AR30" s="1" t="s">
        <v>69</v>
      </c>
      <c r="AS30" s="1" t="s">
        <v>70</v>
      </c>
      <c r="AT30" s="1" t="s">
        <v>71</v>
      </c>
      <c r="AU30" s="1" t="s">
        <v>72</v>
      </c>
      <c r="AV30" s="1" t="s">
        <v>73</v>
      </c>
      <c r="AW30" s="1" t="s">
        <v>74</v>
      </c>
      <c r="AX30" s="1" t="s">
        <v>75</v>
      </c>
      <c r="AY30" s="1" t="s">
        <v>76</v>
      </c>
      <c r="AZ30" s="1" t="s">
        <v>77</v>
      </c>
      <c r="BA30" s="1" t="s">
        <v>78</v>
      </c>
      <c r="BE30" s="1" t="s">
        <v>60</v>
      </c>
      <c r="BF30" s="1" t="s">
        <v>61</v>
      </c>
      <c r="BG30" s="1" t="s">
        <v>62</v>
      </c>
      <c r="BH30" s="1" t="s">
        <v>63</v>
      </c>
      <c r="BI30" s="1" t="s">
        <v>64</v>
      </c>
      <c r="BJ30" s="1" t="s">
        <v>65</v>
      </c>
      <c r="BK30" s="1" t="s">
        <v>66</v>
      </c>
      <c r="BL30" s="1" t="s">
        <v>67</v>
      </c>
      <c r="BM30" s="1" t="s">
        <v>68</v>
      </c>
      <c r="BN30" s="1" t="s">
        <v>69</v>
      </c>
      <c r="BO30" s="1" t="s">
        <v>70</v>
      </c>
      <c r="BP30" s="1" t="s">
        <v>71</v>
      </c>
      <c r="BQ30" s="1" t="s">
        <v>72</v>
      </c>
      <c r="BR30" s="1" t="s">
        <v>73</v>
      </c>
      <c r="BS30" s="1" t="s">
        <v>74</v>
      </c>
      <c r="BT30" s="1" t="s">
        <v>75</v>
      </c>
      <c r="BU30" s="1" t="s">
        <v>76</v>
      </c>
      <c r="BV30" s="1" t="s">
        <v>77</v>
      </c>
      <c r="BW30" s="1" t="s">
        <v>78</v>
      </c>
      <c r="CC30" s="1" t="s">
        <v>60</v>
      </c>
      <c r="CD30" s="1" t="s">
        <v>61</v>
      </c>
      <c r="CE30" s="1" t="s">
        <v>62</v>
      </c>
      <c r="CF30" s="1" t="s">
        <v>63</v>
      </c>
      <c r="CG30" s="1" t="s">
        <v>64</v>
      </c>
      <c r="CH30" s="1" t="s">
        <v>65</v>
      </c>
      <c r="CI30" s="1" t="s">
        <v>66</v>
      </c>
      <c r="CJ30" s="1" t="s">
        <v>67</v>
      </c>
      <c r="CK30" s="1" t="s">
        <v>68</v>
      </c>
      <c r="CL30" s="1" t="s">
        <v>69</v>
      </c>
      <c r="CM30" s="1" t="s">
        <v>70</v>
      </c>
      <c r="CN30" s="1" t="s">
        <v>71</v>
      </c>
      <c r="CO30" s="1" t="s">
        <v>72</v>
      </c>
      <c r="CP30" s="1" t="s">
        <v>73</v>
      </c>
      <c r="CQ30" s="1" t="s">
        <v>74</v>
      </c>
      <c r="CR30" s="1" t="s">
        <v>75</v>
      </c>
      <c r="CS30" s="1" t="s">
        <v>76</v>
      </c>
      <c r="CT30" s="1" t="s">
        <v>77</v>
      </c>
      <c r="CU30" s="1" t="s">
        <v>78</v>
      </c>
      <c r="CZ30" s="1" t="s">
        <v>60</v>
      </c>
      <c r="DA30" s="1" t="s">
        <v>61</v>
      </c>
      <c r="DB30" s="1" t="s">
        <v>62</v>
      </c>
      <c r="DC30" s="1" t="s">
        <v>63</v>
      </c>
      <c r="DD30" s="1" t="s">
        <v>64</v>
      </c>
      <c r="DE30" s="1" t="s">
        <v>65</v>
      </c>
      <c r="DF30" s="1" t="s">
        <v>66</v>
      </c>
      <c r="DG30" s="1" t="s">
        <v>67</v>
      </c>
      <c r="DH30" s="1" t="s">
        <v>68</v>
      </c>
      <c r="DI30" s="1" t="s">
        <v>69</v>
      </c>
      <c r="DJ30" s="1" t="s">
        <v>70</v>
      </c>
      <c r="DK30" s="1" t="s">
        <v>71</v>
      </c>
      <c r="DL30" s="1" t="s">
        <v>72</v>
      </c>
      <c r="DM30" s="1" t="s">
        <v>73</v>
      </c>
      <c r="DN30" s="1" t="s">
        <v>74</v>
      </c>
      <c r="DO30" s="1" t="s">
        <v>75</v>
      </c>
      <c r="DP30" s="1" t="s">
        <v>76</v>
      </c>
      <c r="DQ30" s="1" t="s">
        <v>77</v>
      </c>
      <c r="DR30" s="1" t="s">
        <v>78</v>
      </c>
    </row>
    <row r="31" spans="1:122" ht="16" customHeight="1" x14ac:dyDescent="0.2">
      <c r="A31" s="2" t="s">
        <v>27</v>
      </c>
      <c r="B31" s="6">
        <v>0</v>
      </c>
      <c r="C31" s="6">
        <v>7437.0002999999997</v>
      </c>
      <c r="D31" s="6">
        <v>924.60040000000004</v>
      </c>
      <c r="E31" s="6">
        <v>0</v>
      </c>
      <c r="F31" s="6">
        <v>0</v>
      </c>
      <c r="G31" s="6">
        <v>321.60070000000002</v>
      </c>
      <c r="J31" s="2" t="s">
        <v>28</v>
      </c>
      <c r="K31" s="6" cm="1">
        <f t="array" ref="K31:AD36">TRANSPOSE(B31:G50)</f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148.74389978771001</v>
      </c>
      <c r="AA31" s="6">
        <v>0</v>
      </c>
      <c r="AB31" s="6">
        <v>0</v>
      </c>
      <c r="AC31" s="6">
        <v>0</v>
      </c>
      <c r="AD31" s="6">
        <v>0</v>
      </c>
      <c r="AG31" s="2" t="s">
        <v>28</v>
      </c>
      <c r="AH31" s="6">
        <f>K31</f>
        <v>0</v>
      </c>
      <c r="AI31" s="6">
        <f t="shared" ref="AI31:BA31" si="0">L31</f>
        <v>0</v>
      </c>
      <c r="AJ31" s="6">
        <f t="shared" si="0"/>
        <v>0</v>
      </c>
      <c r="AK31" s="6">
        <f t="shared" si="0"/>
        <v>0</v>
      </c>
      <c r="AL31" s="6">
        <f t="shared" si="0"/>
        <v>0</v>
      </c>
      <c r="AM31" s="6">
        <f t="shared" si="0"/>
        <v>0</v>
      </c>
      <c r="AN31" s="6">
        <f t="shared" si="0"/>
        <v>0</v>
      </c>
      <c r="AO31" s="6">
        <f t="shared" si="0"/>
        <v>0</v>
      </c>
      <c r="AP31" s="6">
        <f t="shared" si="0"/>
        <v>0</v>
      </c>
      <c r="AQ31" s="6">
        <f t="shared" si="0"/>
        <v>0</v>
      </c>
      <c r="AR31" s="6">
        <f t="shared" si="0"/>
        <v>0</v>
      </c>
      <c r="AS31" s="6">
        <f t="shared" si="0"/>
        <v>0</v>
      </c>
      <c r="AT31" s="6">
        <f t="shared" si="0"/>
        <v>0</v>
      </c>
      <c r="AU31" s="6">
        <f t="shared" si="0"/>
        <v>0</v>
      </c>
      <c r="AV31" s="6">
        <f t="shared" si="0"/>
        <v>0</v>
      </c>
      <c r="AW31" s="6">
        <f t="shared" si="0"/>
        <v>148.74389978771001</v>
      </c>
      <c r="AX31" s="6">
        <f t="shared" si="0"/>
        <v>0</v>
      </c>
      <c r="AY31" s="6">
        <f t="shared" si="0"/>
        <v>0</v>
      </c>
      <c r="AZ31" s="6">
        <f t="shared" si="0"/>
        <v>0</v>
      </c>
      <c r="BA31" s="6">
        <f t="shared" si="0"/>
        <v>0</v>
      </c>
      <c r="BD31" s="2" t="s">
        <v>28</v>
      </c>
      <c r="BE31" s="6" cm="1">
        <f t="array" ref="BE31:BW36">MMULT(AH31:BA36, AH72:AZ91)</f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513.39799291191775</v>
      </c>
      <c r="BT31" s="6">
        <v>0</v>
      </c>
      <c r="BU31" s="6">
        <v>0</v>
      </c>
      <c r="BV31" s="6">
        <v>0</v>
      </c>
      <c r="BW31" s="6">
        <v>0</v>
      </c>
      <c r="CB31" s="2" t="s">
        <v>33</v>
      </c>
      <c r="CC31" s="6" cm="1">
        <f t="array" ref="CC31:CU36">MMULT(B12:G17, BE31:BW36)</f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6">
        <v>80.399098889992985</v>
      </c>
      <c r="CR31" s="6">
        <v>0</v>
      </c>
      <c r="CS31" s="6">
        <v>0</v>
      </c>
      <c r="CT31" s="6">
        <v>0</v>
      </c>
      <c r="CU31" s="6">
        <v>0</v>
      </c>
      <c r="CY31" s="2" t="s">
        <v>33</v>
      </c>
      <c r="CZ31" s="6" cm="1">
        <f t="array" ref="CZ31:DR36">MMULT(AH3:AM8,_xlfn.ANCHORARRAY( CC31))</f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0.99999998619378805</v>
      </c>
      <c r="DO31" s="6">
        <v>0</v>
      </c>
      <c r="DP31" s="6">
        <v>0</v>
      </c>
      <c r="DQ31" s="6">
        <v>0</v>
      </c>
      <c r="DR31" s="6">
        <v>0</v>
      </c>
    </row>
    <row r="32" spans="1:122" x14ac:dyDescent="0.2">
      <c r="A32" s="2" t="s">
        <v>40</v>
      </c>
      <c r="B32" s="6">
        <v>0</v>
      </c>
      <c r="C32" s="6">
        <v>0</v>
      </c>
      <c r="D32" s="6">
        <v>0</v>
      </c>
      <c r="E32" s="6">
        <v>45.420974487803001</v>
      </c>
      <c r="F32" s="6">
        <v>0</v>
      </c>
      <c r="G32" s="6">
        <v>0</v>
      </c>
      <c r="J32" s="2" t="s">
        <v>29</v>
      </c>
      <c r="K32" s="6">
        <v>7437.0002999999997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G32" s="2" t="s">
        <v>29</v>
      </c>
      <c r="AH32" s="6">
        <f t="shared" ref="AH32:AH36" si="1">K32</f>
        <v>7437.0002999999997</v>
      </c>
      <c r="AI32" s="6">
        <f t="shared" ref="AI32:AI36" si="2">L32</f>
        <v>0</v>
      </c>
      <c r="AJ32" s="6">
        <f t="shared" ref="AJ32:AJ36" si="3">M32</f>
        <v>0</v>
      </c>
      <c r="AK32" s="6">
        <f t="shared" ref="AK32:AK36" si="4">N32</f>
        <v>0</v>
      </c>
      <c r="AL32" s="6">
        <f t="shared" ref="AL32:AL36" si="5">O32</f>
        <v>0</v>
      </c>
      <c r="AM32" s="6">
        <f t="shared" ref="AM32:AM36" si="6">P32</f>
        <v>0</v>
      </c>
      <c r="AN32" s="6">
        <f t="shared" ref="AN32:AN36" si="7">Q32</f>
        <v>0</v>
      </c>
      <c r="AO32" s="6">
        <f t="shared" ref="AO32:AO36" si="8">R32</f>
        <v>0</v>
      </c>
      <c r="AP32" s="6">
        <f t="shared" ref="AP32:AP36" si="9">S32</f>
        <v>0</v>
      </c>
      <c r="AQ32" s="6">
        <f t="shared" ref="AQ32:AQ36" si="10">T32</f>
        <v>0</v>
      </c>
      <c r="AR32" s="6">
        <f t="shared" ref="AR32:AR36" si="11">U32</f>
        <v>0</v>
      </c>
      <c r="AS32" s="6">
        <f t="shared" ref="AS32:AS36" si="12">V32</f>
        <v>0</v>
      </c>
      <c r="AT32" s="6">
        <f t="shared" ref="AT32:AT36" si="13">W32</f>
        <v>0</v>
      </c>
      <c r="AU32" s="6">
        <f t="shared" ref="AU32:AU36" si="14">X32</f>
        <v>0</v>
      </c>
      <c r="AV32" s="6">
        <f t="shared" ref="AV32:AV36" si="15">Y32</f>
        <v>0</v>
      </c>
      <c r="AW32" s="6">
        <f t="shared" ref="AW32:AW36" si="16">Z32</f>
        <v>0</v>
      </c>
      <c r="AX32" s="6">
        <f t="shared" ref="AX32:AX36" si="17">AA32</f>
        <v>0</v>
      </c>
      <c r="AY32" s="6">
        <f t="shared" ref="AY32:AY36" si="18">AB32</f>
        <v>0</v>
      </c>
      <c r="AZ32" s="6">
        <f t="shared" ref="AZ32:AZ36" si="19">AC32</f>
        <v>0</v>
      </c>
      <c r="BA32" s="6">
        <f t="shared" ref="BA32:BA36" si="20">AD32</f>
        <v>0</v>
      </c>
      <c r="BD32" s="2" t="s">
        <v>29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CB32" s="2" t="s">
        <v>34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Y32" s="2" t="s">
        <v>34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</row>
    <row r="33" spans="1:122" x14ac:dyDescent="0.2">
      <c r="A33" s="2" t="s">
        <v>41</v>
      </c>
      <c r="B33" s="6">
        <v>0</v>
      </c>
      <c r="C33" s="6">
        <v>0</v>
      </c>
      <c r="D33" s="6">
        <v>0</v>
      </c>
      <c r="E33" s="6">
        <v>10.56548974729</v>
      </c>
      <c r="F33" s="6">
        <v>0</v>
      </c>
      <c r="G33" s="6">
        <v>0</v>
      </c>
      <c r="J33" s="2" t="s">
        <v>30</v>
      </c>
      <c r="K33" s="6">
        <v>924.60040000000004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G33" s="2" t="s">
        <v>30</v>
      </c>
      <c r="AH33" s="6">
        <f t="shared" si="1"/>
        <v>924.60040000000004</v>
      </c>
      <c r="AI33" s="6">
        <f t="shared" si="2"/>
        <v>0</v>
      </c>
      <c r="AJ33" s="6">
        <f t="shared" si="3"/>
        <v>0</v>
      </c>
      <c r="AK33" s="6">
        <f t="shared" si="4"/>
        <v>0</v>
      </c>
      <c r="AL33" s="6">
        <f t="shared" si="5"/>
        <v>0</v>
      </c>
      <c r="AM33" s="6">
        <f t="shared" si="6"/>
        <v>0</v>
      </c>
      <c r="AN33" s="6">
        <f t="shared" si="7"/>
        <v>0</v>
      </c>
      <c r="AO33" s="6">
        <f t="shared" si="8"/>
        <v>0</v>
      </c>
      <c r="AP33" s="6">
        <f t="shared" si="9"/>
        <v>0</v>
      </c>
      <c r="AQ33" s="6">
        <f t="shared" si="10"/>
        <v>0</v>
      </c>
      <c r="AR33" s="6">
        <f t="shared" si="11"/>
        <v>0</v>
      </c>
      <c r="AS33" s="6">
        <f t="shared" si="12"/>
        <v>0</v>
      </c>
      <c r="AT33" s="6">
        <f t="shared" si="13"/>
        <v>0</v>
      </c>
      <c r="AU33" s="6">
        <f t="shared" si="14"/>
        <v>0</v>
      </c>
      <c r="AV33" s="6">
        <f t="shared" si="15"/>
        <v>0</v>
      </c>
      <c r="AW33" s="6">
        <f t="shared" si="16"/>
        <v>0</v>
      </c>
      <c r="AX33" s="6">
        <f t="shared" si="17"/>
        <v>0</v>
      </c>
      <c r="AY33" s="6">
        <f t="shared" si="18"/>
        <v>0</v>
      </c>
      <c r="AZ33" s="6">
        <f t="shared" si="19"/>
        <v>0</v>
      </c>
      <c r="BA33" s="6">
        <f t="shared" si="20"/>
        <v>0</v>
      </c>
      <c r="BD33" s="2" t="s">
        <v>30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CB33" s="2" t="s">
        <v>35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6">
        <v>0</v>
      </c>
      <c r="CP33" s="6">
        <v>0</v>
      </c>
      <c r="CQ33" s="6">
        <v>0</v>
      </c>
      <c r="CR33" s="6">
        <v>0</v>
      </c>
      <c r="CS33" s="6">
        <v>0</v>
      </c>
      <c r="CT33" s="6">
        <v>0</v>
      </c>
      <c r="CU33" s="6">
        <v>0</v>
      </c>
      <c r="CY33" s="2" t="s">
        <v>35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</row>
    <row r="34" spans="1:122" x14ac:dyDescent="0.2">
      <c r="A34" s="2" t="s">
        <v>42</v>
      </c>
      <c r="B34" s="6">
        <v>0</v>
      </c>
      <c r="C34" s="6">
        <v>0</v>
      </c>
      <c r="D34" s="6">
        <v>0</v>
      </c>
      <c r="E34" s="6">
        <v>239.42002754622999</v>
      </c>
      <c r="F34" s="6">
        <v>0</v>
      </c>
      <c r="G34" s="6">
        <v>0</v>
      </c>
      <c r="J34" s="2" t="s">
        <v>39</v>
      </c>
      <c r="K34" s="6">
        <v>0</v>
      </c>
      <c r="L34" s="6">
        <v>45.420974487803001</v>
      </c>
      <c r="M34" s="6">
        <v>10.56548974729</v>
      </c>
      <c r="N34" s="6">
        <v>239.42002754622999</v>
      </c>
      <c r="O34" s="6">
        <v>320.41223929520999</v>
      </c>
      <c r="P34" s="6">
        <v>13.894729834892001</v>
      </c>
      <c r="Q34" s="6">
        <v>134.58699587643</v>
      </c>
      <c r="R34" s="6">
        <v>4.8328734732758001</v>
      </c>
      <c r="S34" s="6">
        <v>2.4537243968652998E-2</v>
      </c>
      <c r="T34" s="6">
        <v>66.682419111564002</v>
      </c>
      <c r="U34" s="6">
        <v>20.72619293088</v>
      </c>
      <c r="V34" s="6">
        <v>11.722790773811001</v>
      </c>
      <c r="W34" s="6">
        <v>351.12025842441</v>
      </c>
      <c r="X34" s="6">
        <v>10.981003594759001</v>
      </c>
      <c r="Y34" s="6">
        <v>4.7239291045123002</v>
      </c>
      <c r="Z34" s="6">
        <v>0</v>
      </c>
      <c r="AA34" s="6">
        <v>1855.3143386280001</v>
      </c>
      <c r="AB34" s="6">
        <v>73.809561478158003</v>
      </c>
      <c r="AC34" s="6">
        <v>0</v>
      </c>
      <c r="AD34" s="6">
        <v>2.1592437759009999</v>
      </c>
      <c r="AG34" s="2" t="s">
        <v>39</v>
      </c>
      <c r="AH34" s="6">
        <f t="shared" si="1"/>
        <v>0</v>
      </c>
      <c r="AI34" s="6">
        <f t="shared" si="2"/>
        <v>45.420974487803001</v>
      </c>
      <c r="AJ34" s="6">
        <f t="shared" si="3"/>
        <v>10.56548974729</v>
      </c>
      <c r="AK34" s="6">
        <f t="shared" si="4"/>
        <v>239.42002754622999</v>
      </c>
      <c r="AL34" s="6">
        <f t="shared" si="5"/>
        <v>320.41223929520999</v>
      </c>
      <c r="AM34" s="6">
        <f t="shared" si="6"/>
        <v>13.894729834892001</v>
      </c>
      <c r="AN34" s="6">
        <f t="shared" si="7"/>
        <v>134.58699587643</v>
      </c>
      <c r="AO34" s="6">
        <f t="shared" si="8"/>
        <v>4.8328734732758001</v>
      </c>
      <c r="AP34" s="6">
        <f t="shared" si="9"/>
        <v>2.4537243968652998E-2</v>
      </c>
      <c r="AQ34" s="6">
        <f t="shared" si="10"/>
        <v>66.682419111564002</v>
      </c>
      <c r="AR34" s="6">
        <f t="shared" si="11"/>
        <v>20.72619293088</v>
      </c>
      <c r="AS34" s="6">
        <f t="shared" si="12"/>
        <v>11.722790773811001</v>
      </c>
      <c r="AT34" s="6">
        <f t="shared" si="13"/>
        <v>351.12025842441</v>
      </c>
      <c r="AU34" s="6">
        <f t="shared" si="14"/>
        <v>10.981003594759001</v>
      </c>
      <c r="AV34" s="6">
        <f t="shared" si="15"/>
        <v>4.7239291045123002</v>
      </c>
      <c r="AW34" s="6">
        <f t="shared" si="16"/>
        <v>0</v>
      </c>
      <c r="AX34" s="6">
        <f t="shared" si="17"/>
        <v>1855.3143386280001</v>
      </c>
      <c r="AY34" s="6">
        <f t="shared" si="18"/>
        <v>73.809561478158003</v>
      </c>
      <c r="AZ34" s="6">
        <f t="shared" si="19"/>
        <v>0</v>
      </c>
      <c r="BA34" s="6">
        <f t="shared" si="20"/>
        <v>2.1592437759009999</v>
      </c>
      <c r="BD34" s="2" t="s">
        <v>39</v>
      </c>
      <c r="BE34" s="6">
        <v>88.712840796490241</v>
      </c>
      <c r="BF34" s="6">
        <v>41.53869716343754</v>
      </c>
      <c r="BG34" s="6">
        <v>1524.9999939249058</v>
      </c>
      <c r="BH34" s="6">
        <v>1525.0000466202405</v>
      </c>
      <c r="BI34" s="6">
        <v>137.87847817396326</v>
      </c>
      <c r="BJ34" s="6">
        <v>1524.9999617742108</v>
      </c>
      <c r="BK34" s="6">
        <v>14.802062705285756</v>
      </c>
      <c r="BL34" s="6">
        <v>24.537243968652998</v>
      </c>
      <c r="BM34" s="6">
        <v>112.1635721401648</v>
      </c>
      <c r="BN34" s="6">
        <v>136.50604247915743</v>
      </c>
      <c r="BO34" s="6">
        <v>50.162545611315117</v>
      </c>
      <c r="BP34" s="6">
        <v>166.96607399210345</v>
      </c>
      <c r="BQ34" s="6">
        <v>135.43251310120743</v>
      </c>
      <c r="BR34" s="6">
        <v>5.6354468538754663</v>
      </c>
      <c r="BS34" s="6">
        <v>0</v>
      </c>
      <c r="BT34" s="6">
        <v>5343.8012000000008</v>
      </c>
      <c r="BU34" s="6">
        <v>1525.0000770285194</v>
      </c>
      <c r="BV34" s="6">
        <v>0</v>
      </c>
      <c r="BW34" s="6">
        <v>3.6664847146006352</v>
      </c>
      <c r="CB34" s="2" t="s">
        <v>83</v>
      </c>
      <c r="CC34" s="6">
        <v>26.541086816978904</v>
      </c>
      <c r="CD34" s="6">
        <v>12.427537634693902</v>
      </c>
      <c r="CE34" s="6">
        <v>456.24913903393508</v>
      </c>
      <c r="CF34" s="6">
        <v>456.24915479931292</v>
      </c>
      <c r="CG34" s="6">
        <v>41.250450628708407</v>
      </c>
      <c r="CH34" s="6">
        <v>456.24912941509774</v>
      </c>
      <c r="CI34" s="6">
        <v>4.4284776341746657</v>
      </c>
      <c r="CJ34" s="6">
        <v>7.3410468718433428</v>
      </c>
      <c r="CK34" s="6">
        <v>33.557071097562776</v>
      </c>
      <c r="CL34" s="6">
        <v>40.839845640754923</v>
      </c>
      <c r="CM34" s="6">
        <v>15.007618582351292</v>
      </c>
      <c r="CN34" s="6">
        <v>49.952870695240584</v>
      </c>
      <c r="CO34" s="6">
        <v>40.518667374283773</v>
      </c>
      <c r="CP34" s="6">
        <v>1.6860116625540063</v>
      </c>
      <c r="CQ34" s="6">
        <v>0</v>
      </c>
      <c r="CR34" s="6">
        <v>1598.7571845122034</v>
      </c>
      <c r="CS34" s="6">
        <v>456.24916389685467</v>
      </c>
      <c r="CT34" s="6">
        <v>0</v>
      </c>
      <c r="CU34" s="6">
        <v>1.0969380334305738</v>
      </c>
      <c r="CY34" s="2" t="s">
        <v>36</v>
      </c>
      <c r="CZ34" s="6">
        <v>7.1763680620297544E-3</v>
      </c>
      <c r="DA34" s="6">
        <v>3.3602461265541251E-3</v>
      </c>
      <c r="DB34" s="6">
        <v>0.12336389132328676</v>
      </c>
      <c r="DC34" s="6">
        <v>0.1233638955860419</v>
      </c>
      <c r="DD34" s="6">
        <v>1.1153590600021038E-2</v>
      </c>
      <c r="DE34" s="6">
        <v>0.12336388872247703</v>
      </c>
      <c r="DF34" s="6">
        <v>1.1974033194817615E-3</v>
      </c>
      <c r="DG34" s="6">
        <v>1.9849245313970395E-3</v>
      </c>
      <c r="DH34" s="6">
        <v>9.0733998551165151E-3</v>
      </c>
      <c r="DI34" s="6">
        <v>1.1042568299315008E-2</v>
      </c>
      <c r="DJ34" s="6">
        <v>4.0578667868495849E-3</v>
      </c>
      <c r="DK34" s="6">
        <v>1.3506612910617477E-2</v>
      </c>
      <c r="DL34" s="6">
        <v>1.0955725832402645E-2</v>
      </c>
      <c r="DM34" s="6">
        <v>4.5587584000599348E-4</v>
      </c>
      <c r="DN34" s="6">
        <v>0</v>
      </c>
      <c r="DO34" s="6">
        <v>0.43228335286308961</v>
      </c>
      <c r="DP34" s="6">
        <v>0.12336389804590002</v>
      </c>
      <c r="DQ34" s="6">
        <v>0</v>
      </c>
      <c r="DR34" s="6">
        <v>2.9659791716219358E-4</v>
      </c>
    </row>
    <row r="35" spans="1:122" x14ac:dyDescent="0.2">
      <c r="A35" s="2" t="s">
        <v>43</v>
      </c>
      <c r="B35" s="6">
        <v>0</v>
      </c>
      <c r="C35" s="6">
        <v>0</v>
      </c>
      <c r="D35" s="6">
        <v>0</v>
      </c>
      <c r="E35" s="6">
        <v>320.41223929520999</v>
      </c>
      <c r="F35" s="6">
        <v>0</v>
      </c>
      <c r="G35" s="6">
        <v>0</v>
      </c>
      <c r="J35" s="2" t="s">
        <v>31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171.94047456000001</v>
      </c>
      <c r="AD35" s="6">
        <v>0</v>
      </c>
      <c r="AG35" s="2" t="s">
        <v>31</v>
      </c>
      <c r="AH35" s="6">
        <f t="shared" si="1"/>
        <v>0</v>
      </c>
      <c r="AI35" s="6">
        <f t="shared" si="2"/>
        <v>0</v>
      </c>
      <c r="AJ35" s="6">
        <f t="shared" si="3"/>
        <v>0</v>
      </c>
      <c r="AK35" s="6">
        <f t="shared" si="4"/>
        <v>0</v>
      </c>
      <c r="AL35" s="6">
        <f t="shared" si="5"/>
        <v>0</v>
      </c>
      <c r="AM35" s="6">
        <f t="shared" si="6"/>
        <v>0</v>
      </c>
      <c r="AN35" s="6">
        <f t="shared" si="7"/>
        <v>0</v>
      </c>
      <c r="AO35" s="6">
        <f t="shared" si="8"/>
        <v>0</v>
      </c>
      <c r="AP35" s="6">
        <f t="shared" si="9"/>
        <v>0</v>
      </c>
      <c r="AQ35" s="6">
        <f t="shared" si="10"/>
        <v>0</v>
      </c>
      <c r="AR35" s="6">
        <f t="shared" si="11"/>
        <v>0</v>
      </c>
      <c r="AS35" s="6">
        <f t="shared" si="12"/>
        <v>0</v>
      </c>
      <c r="AT35" s="6">
        <f t="shared" si="13"/>
        <v>0</v>
      </c>
      <c r="AU35" s="6">
        <f t="shared" si="14"/>
        <v>0</v>
      </c>
      <c r="AV35" s="6">
        <f t="shared" si="15"/>
        <v>0</v>
      </c>
      <c r="AW35" s="6">
        <f t="shared" si="16"/>
        <v>0</v>
      </c>
      <c r="AX35" s="6">
        <f t="shared" si="17"/>
        <v>0</v>
      </c>
      <c r="AY35" s="6">
        <f t="shared" si="18"/>
        <v>0</v>
      </c>
      <c r="AZ35" s="6">
        <f t="shared" si="19"/>
        <v>171.94047456000001</v>
      </c>
      <c r="BA35" s="6">
        <f t="shared" si="20"/>
        <v>0</v>
      </c>
      <c r="BD35" s="2" t="s">
        <v>31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633.99880000000007</v>
      </c>
      <c r="BW35" s="6">
        <v>0</v>
      </c>
      <c r="CB35" s="2" t="s">
        <v>37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6">
        <v>0</v>
      </c>
      <c r="CP35" s="6">
        <v>0</v>
      </c>
      <c r="CQ35" s="6">
        <v>0</v>
      </c>
      <c r="CR35" s="6">
        <v>0</v>
      </c>
      <c r="CS35" s="6">
        <v>0</v>
      </c>
      <c r="CT35" s="6">
        <v>200.99990000000011</v>
      </c>
      <c r="CU35" s="6">
        <v>0</v>
      </c>
      <c r="CY35" s="2" t="s">
        <v>37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1.0000000000000004</v>
      </c>
      <c r="DR35" s="6">
        <v>0</v>
      </c>
    </row>
    <row r="36" spans="1:122" x14ac:dyDescent="0.2">
      <c r="A36" s="2" t="s">
        <v>44</v>
      </c>
      <c r="B36" s="6">
        <v>0</v>
      </c>
      <c r="C36" s="6">
        <v>0</v>
      </c>
      <c r="D36" s="6">
        <v>0</v>
      </c>
      <c r="E36" s="6">
        <v>13.894729834892001</v>
      </c>
      <c r="F36" s="6">
        <v>0</v>
      </c>
      <c r="G36" s="6">
        <v>0</v>
      </c>
      <c r="J36" s="2" t="s">
        <v>32</v>
      </c>
      <c r="K36" s="6">
        <v>321.60070000000002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G36" s="2" t="s">
        <v>32</v>
      </c>
      <c r="AH36" s="6">
        <f t="shared" si="1"/>
        <v>321.60070000000002</v>
      </c>
      <c r="AI36" s="6">
        <f t="shared" si="2"/>
        <v>0</v>
      </c>
      <c r="AJ36" s="6">
        <f t="shared" si="3"/>
        <v>0</v>
      </c>
      <c r="AK36" s="6">
        <f t="shared" si="4"/>
        <v>0</v>
      </c>
      <c r="AL36" s="6">
        <f t="shared" si="5"/>
        <v>0</v>
      </c>
      <c r="AM36" s="6">
        <f t="shared" si="6"/>
        <v>0</v>
      </c>
      <c r="AN36" s="6">
        <f t="shared" si="7"/>
        <v>0</v>
      </c>
      <c r="AO36" s="6">
        <f t="shared" si="8"/>
        <v>0</v>
      </c>
      <c r="AP36" s="6">
        <f t="shared" si="9"/>
        <v>0</v>
      </c>
      <c r="AQ36" s="6">
        <f t="shared" si="10"/>
        <v>0</v>
      </c>
      <c r="AR36" s="6">
        <f t="shared" si="11"/>
        <v>0</v>
      </c>
      <c r="AS36" s="6">
        <f t="shared" si="12"/>
        <v>0</v>
      </c>
      <c r="AT36" s="6">
        <f t="shared" si="13"/>
        <v>0</v>
      </c>
      <c r="AU36" s="6">
        <f t="shared" si="14"/>
        <v>0</v>
      </c>
      <c r="AV36" s="6">
        <f t="shared" si="15"/>
        <v>0</v>
      </c>
      <c r="AW36" s="6">
        <f t="shared" si="16"/>
        <v>0</v>
      </c>
      <c r="AX36" s="6">
        <f t="shared" si="17"/>
        <v>0</v>
      </c>
      <c r="AY36" s="6">
        <f t="shared" si="18"/>
        <v>0</v>
      </c>
      <c r="AZ36" s="6">
        <f t="shared" si="19"/>
        <v>0</v>
      </c>
      <c r="BA36" s="6">
        <f t="shared" si="20"/>
        <v>0</v>
      </c>
      <c r="BD36" s="2" t="s">
        <v>32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CB36" s="2" t="s">
        <v>38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6">
        <v>0</v>
      </c>
      <c r="CR36" s="6">
        <v>0</v>
      </c>
      <c r="CS36" s="6">
        <v>0</v>
      </c>
      <c r="CT36" s="6">
        <v>0</v>
      </c>
      <c r="CU36" s="6">
        <v>0</v>
      </c>
      <c r="CY36" s="2" t="s">
        <v>38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</row>
    <row r="37" spans="1:122" x14ac:dyDescent="0.2">
      <c r="A37" s="2" t="s">
        <v>45</v>
      </c>
      <c r="B37" s="6">
        <v>0</v>
      </c>
      <c r="C37" s="6">
        <v>0</v>
      </c>
      <c r="D37" s="6">
        <v>0</v>
      </c>
      <c r="E37" s="6">
        <v>134.58699587643</v>
      </c>
      <c r="F37" s="6">
        <v>0</v>
      </c>
      <c r="G37" s="6">
        <v>0</v>
      </c>
      <c r="K37" s="5" t="s">
        <v>17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H37" s="5" t="s">
        <v>17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E37" s="5" t="s">
        <v>21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CC37" s="5" t="s">
        <v>91</v>
      </c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Z37" s="5" t="s">
        <v>94</v>
      </c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</row>
    <row r="38" spans="1:122" x14ac:dyDescent="0.2">
      <c r="A38" s="2" t="s">
        <v>46</v>
      </c>
      <c r="B38" s="6">
        <v>0</v>
      </c>
      <c r="C38" s="6">
        <v>0</v>
      </c>
      <c r="D38" s="6">
        <v>0</v>
      </c>
      <c r="E38" s="6">
        <v>4.8328734732758001</v>
      </c>
      <c r="F38" s="6">
        <v>0</v>
      </c>
      <c r="G38" s="6">
        <v>0</v>
      </c>
      <c r="BE38" s="4" t="s">
        <v>81</v>
      </c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CC38" t="s">
        <v>93</v>
      </c>
    </row>
    <row r="39" spans="1:122" x14ac:dyDescent="0.2">
      <c r="A39" s="2" t="s">
        <v>47</v>
      </c>
      <c r="B39" s="6">
        <v>0</v>
      </c>
      <c r="C39" s="6">
        <v>0</v>
      </c>
      <c r="D39" s="6">
        <v>0</v>
      </c>
      <c r="E39" s="6">
        <v>2.4537243968652998E-2</v>
      </c>
      <c r="F39" s="6">
        <v>0</v>
      </c>
      <c r="G39" s="6">
        <v>0</v>
      </c>
      <c r="BE39" t="s">
        <v>82</v>
      </c>
    </row>
    <row r="40" spans="1:122" x14ac:dyDescent="0.2">
      <c r="A40" s="2" t="s">
        <v>48</v>
      </c>
      <c r="B40" s="6">
        <v>0</v>
      </c>
      <c r="C40" s="6">
        <v>0</v>
      </c>
      <c r="D40" s="6">
        <v>0</v>
      </c>
      <c r="E40" s="6">
        <v>66.682419111564002</v>
      </c>
      <c r="F40" s="6">
        <v>0</v>
      </c>
      <c r="G40" s="6">
        <v>0</v>
      </c>
    </row>
    <row r="41" spans="1:122" x14ac:dyDescent="0.2">
      <c r="A41" s="2" t="s">
        <v>49</v>
      </c>
      <c r="B41" s="6">
        <v>0</v>
      </c>
      <c r="C41" s="6">
        <v>0</v>
      </c>
      <c r="D41" s="6">
        <v>0</v>
      </c>
      <c r="E41" s="6">
        <v>20.72619293088</v>
      </c>
      <c r="F41" s="6">
        <v>0</v>
      </c>
      <c r="G41" s="6">
        <v>0</v>
      </c>
    </row>
    <row r="42" spans="1:122" x14ac:dyDescent="0.2">
      <c r="A42" s="2" t="s">
        <v>50</v>
      </c>
      <c r="B42" s="6">
        <v>0</v>
      </c>
      <c r="C42" s="6">
        <v>0</v>
      </c>
      <c r="D42" s="6">
        <v>0</v>
      </c>
      <c r="E42" s="6">
        <v>11.722790773811001</v>
      </c>
      <c r="F42" s="6">
        <v>0</v>
      </c>
      <c r="G42" s="6">
        <v>0</v>
      </c>
    </row>
    <row r="43" spans="1:122" x14ac:dyDescent="0.2">
      <c r="A43" s="2" t="s">
        <v>51</v>
      </c>
      <c r="B43" s="6">
        <v>0</v>
      </c>
      <c r="C43" s="6">
        <v>0</v>
      </c>
      <c r="D43" s="6">
        <v>0</v>
      </c>
      <c r="E43" s="6">
        <v>351.12025842441</v>
      </c>
      <c r="F43" s="6">
        <v>0</v>
      </c>
      <c r="G43" s="6">
        <v>0</v>
      </c>
    </row>
    <row r="44" spans="1:122" x14ac:dyDescent="0.2">
      <c r="A44" s="2" t="s">
        <v>52</v>
      </c>
      <c r="B44" s="6">
        <v>0</v>
      </c>
      <c r="C44" s="6">
        <v>0</v>
      </c>
      <c r="D44" s="6">
        <v>0</v>
      </c>
      <c r="E44" s="6">
        <v>10.981003594759001</v>
      </c>
      <c r="F44" s="6">
        <v>0</v>
      </c>
      <c r="G44" s="6">
        <v>0</v>
      </c>
    </row>
    <row r="45" spans="1:122" x14ac:dyDescent="0.2">
      <c r="A45" s="2" t="s">
        <v>53</v>
      </c>
      <c r="B45" s="6">
        <v>0</v>
      </c>
      <c r="C45" s="6">
        <v>0</v>
      </c>
      <c r="D45" s="6">
        <v>0</v>
      </c>
      <c r="E45" s="6">
        <v>4.7239291045123002</v>
      </c>
      <c r="F45" s="6">
        <v>0</v>
      </c>
      <c r="G45" s="6">
        <v>0</v>
      </c>
    </row>
    <row r="46" spans="1:122" x14ac:dyDescent="0.2">
      <c r="A46" s="2" t="s">
        <v>54</v>
      </c>
      <c r="B46" s="6">
        <v>148.74389978771001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</row>
    <row r="47" spans="1:122" x14ac:dyDescent="0.2">
      <c r="A47" s="2" t="s">
        <v>55</v>
      </c>
      <c r="B47" s="6">
        <v>0</v>
      </c>
      <c r="C47" s="6">
        <v>0</v>
      </c>
      <c r="D47" s="6">
        <v>0</v>
      </c>
      <c r="E47" s="6">
        <v>1855.3143386280001</v>
      </c>
      <c r="F47" s="6">
        <v>0</v>
      </c>
      <c r="G47" s="6">
        <v>0</v>
      </c>
    </row>
    <row r="48" spans="1:122" x14ac:dyDescent="0.2">
      <c r="A48" s="2" t="s">
        <v>56</v>
      </c>
      <c r="B48" s="6">
        <v>0</v>
      </c>
      <c r="C48" s="6">
        <v>0</v>
      </c>
      <c r="D48" s="6">
        <v>0</v>
      </c>
      <c r="E48" s="6">
        <v>73.809561478158003</v>
      </c>
      <c r="F48" s="6">
        <v>0</v>
      </c>
      <c r="G48" s="6">
        <v>0</v>
      </c>
    </row>
    <row r="49" spans="1:7" x14ac:dyDescent="0.2">
      <c r="A49" s="2" t="s">
        <v>57</v>
      </c>
      <c r="B49" s="6">
        <v>0</v>
      </c>
      <c r="C49" s="6">
        <v>0</v>
      </c>
      <c r="D49" s="6">
        <v>0</v>
      </c>
      <c r="E49" s="6">
        <v>0</v>
      </c>
      <c r="F49" s="6">
        <v>171.94047456000001</v>
      </c>
      <c r="G49" s="6">
        <v>0</v>
      </c>
    </row>
    <row r="50" spans="1:7" x14ac:dyDescent="0.2">
      <c r="A50" s="2" t="s">
        <v>58</v>
      </c>
      <c r="B50" s="6">
        <v>0</v>
      </c>
      <c r="C50" s="6">
        <v>0</v>
      </c>
      <c r="D50" s="6">
        <v>0</v>
      </c>
      <c r="E50" s="6">
        <v>2.1592437759009999</v>
      </c>
      <c r="F50" s="6">
        <v>0</v>
      </c>
      <c r="G50" s="6">
        <v>0</v>
      </c>
    </row>
    <row r="51" spans="1:7" x14ac:dyDescent="0.2">
      <c r="B51" s="16" t="s">
        <v>16</v>
      </c>
      <c r="C51" s="16"/>
      <c r="D51" s="16"/>
      <c r="E51" s="16"/>
      <c r="F51" s="16"/>
      <c r="G51" s="16"/>
    </row>
    <row r="52" spans="1:7" x14ac:dyDescent="0.2">
      <c r="B52" s="4" t="s">
        <v>59</v>
      </c>
      <c r="C52" s="4"/>
      <c r="D52" s="4"/>
      <c r="E52" s="4"/>
      <c r="F52" s="4"/>
      <c r="G52" s="4"/>
    </row>
    <row r="71" spans="1:52" ht="244" x14ac:dyDescent="0.2">
      <c r="A71" s="2"/>
      <c r="K71" s="1" t="s">
        <v>60</v>
      </c>
      <c r="L71" s="1" t="s">
        <v>61</v>
      </c>
      <c r="M71" s="1" t="s">
        <v>62</v>
      </c>
      <c r="N71" s="1" t="s">
        <v>63</v>
      </c>
      <c r="O71" s="1" t="s">
        <v>64</v>
      </c>
      <c r="P71" s="1" t="s">
        <v>65</v>
      </c>
      <c r="Q71" s="1" t="s">
        <v>66</v>
      </c>
      <c r="R71" s="1" t="s">
        <v>67</v>
      </c>
      <c r="S71" s="1" t="s">
        <v>68</v>
      </c>
      <c r="T71" s="1" t="s">
        <v>69</v>
      </c>
      <c r="U71" s="1" t="s">
        <v>70</v>
      </c>
      <c r="V71" s="1" t="s">
        <v>71</v>
      </c>
      <c r="W71" s="1" t="s">
        <v>72</v>
      </c>
      <c r="X71" s="1" t="s">
        <v>73</v>
      </c>
      <c r="Y71" s="1" t="s">
        <v>74</v>
      </c>
      <c r="Z71" s="1" t="s">
        <v>75</v>
      </c>
      <c r="AA71" s="1" t="s">
        <v>76</v>
      </c>
      <c r="AB71" s="1" t="s">
        <v>77</v>
      </c>
      <c r="AC71" s="1" t="s">
        <v>78</v>
      </c>
      <c r="AH71" s="1" t="s">
        <v>60</v>
      </c>
      <c r="AI71" s="1" t="s">
        <v>61</v>
      </c>
      <c r="AJ71" s="1" t="s">
        <v>62</v>
      </c>
      <c r="AK71" s="1" t="s">
        <v>63</v>
      </c>
      <c r="AL71" s="1" t="s">
        <v>64</v>
      </c>
      <c r="AM71" s="1" t="s">
        <v>65</v>
      </c>
      <c r="AN71" s="1" t="s">
        <v>66</v>
      </c>
      <c r="AO71" s="1" t="s">
        <v>67</v>
      </c>
      <c r="AP71" s="1" t="s">
        <v>68</v>
      </c>
      <c r="AQ71" s="1" t="s">
        <v>69</v>
      </c>
      <c r="AR71" s="1" t="s">
        <v>70</v>
      </c>
      <c r="AS71" s="1" t="s">
        <v>71</v>
      </c>
      <c r="AT71" s="1" t="s">
        <v>72</v>
      </c>
      <c r="AU71" s="1" t="s">
        <v>73</v>
      </c>
      <c r="AV71" s="1" t="s">
        <v>74</v>
      </c>
      <c r="AW71" s="1" t="s">
        <v>75</v>
      </c>
      <c r="AX71" s="1" t="s">
        <v>76</v>
      </c>
      <c r="AY71" s="1" t="s">
        <v>77</v>
      </c>
      <c r="AZ71" s="1" t="s">
        <v>78</v>
      </c>
    </row>
    <row r="72" spans="1:52" x14ac:dyDescent="0.2">
      <c r="A72" s="2" t="s">
        <v>60</v>
      </c>
      <c r="B72">
        <v>0.51200000000000001</v>
      </c>
      <c r="J72" s="2" t="s">
        <v>60</v>
      </c>
      <c r="K72" s="6">
        <f>B72</f>
        <v>0.51200000000000001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G72" s="2" t="s">
        <v>27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</row>
    <row r="73" spans="1:52" x14ac:dyDescent="0.2">
      <c r="A73" s="2" t="s">
        <v>61</v>
      </c>
      <c r="B73">
        <v>0.25435294000000003</v>
      </c>
      <c r="J73" s="2" t="s">
        <v>61</v>
      </c>
      <c r="K73" s="6">
        <v>0</v>
      </c>
      <c r="L73" s="6">
        <f>B73</f>
        <v>0.25435294000000003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G73" s="2" t="s">
        <v>60</v>
      </c>
      <c r="AH73" s="6" cm="1">
        <f t="array" ref="AH73:AZ91">MINVERSE(K72:AC90)</f>
        <v>1.953125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</row>
    <row r="74" spans="1:52" x14ac:dyDescent="0.2">
      <c r="A74" s="2" t="s">
        <v>62</v>
      </c>
      <c r="B74">
        <v>0.15699674</v>
      </c>
      <c r="J74" s="2" t="s">
        <v>62</v>
      </c>
      <c r="K74" s="6">
        <v>0</v>
      </c>
      <c r="L74" s="6">
        <v>0</v>
      </c>
      <c r="M74" s="6">
        <f>B74</f>
        <v>0.15699674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G74" s="2" t="s">
        <v>61</v>
      </c>
      <c r="AH74" s="6">
        <v>0</v>
      </c>
      <c r="AI74" s="6">
        <v>3.9315448840496985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</row>
    <row r="75" spans="1:52" x14ac:dyDescent="0.2">
      <c r="A75" s="2" t="s">
        <v>63</v>
      </c>
      <c r="B75">
        <v>0.21010638000000001</v>
      </c>
      <c r="J75" s="2" t="s">
        <v>63</v>
      </c>
      <c r="K75" s="6">
        <v>0</v>
      </c>
      <c r="L75" s="6">
        <v>0</v>
      </c>
      <c r="M75" s="6">
        <v>0</v>
      </c>
      <c r="N75" s="6">
        <f>B75</f>
        <v>0.21010638000000001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G75" s="2" t="s">
        <v>62</v>
      </c>
      <c r="AH75" s="6">
        <v>0</v>
      </c>
      <c r="AI75" s="6">
        <v>0</v>
      </c>
      <c r="AJ75" s="6">
        <v>6.3695590112253289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</row>
    <row r="76" spans="1:52" x14ac:dyDescent="0.2">
      <c r="A76" s="2" t="s">
        <v>64</v>
      </c>
      <c r="B76">
        <v>0.10077519</v>
      </c>
      <c r="J76" s="2" t="s">
        <v>64</v>
      </c>
      <c r="K76" s="6">
        <v>0</v>
      </c>
      <c r="L76" s="6">
        <v>0</v>
      </c>
      <c r="M76" s="6">
        <v>0</v>
      </c>
      <c r="N76" s="6">
        <v>0</v>
      </c>
      <c r="O76" s="6">
        <f>B76</f>
        <v>0.10077519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G76" s="2" t="s">
        <v>63</v>
      </c>
      <c r="AH76" s="6">
        <v>0</v>
      </c>
      <c r="AI76" s="6">
        <v>0</v>
      </c>
      <c r="AJ76" s="6">
        <v>0</v>
      </c>
      <c r="AK76" s="6">
        <v>4.7594937383624423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</row>
    <row r="77" spans="1:52" x14ac:dyDescent="0.2">
      <c r="A77" s="2" t="s">
        <v>65</v>
      </c>
      <c r="B77">
        <v>8.8253769999999995E-2</v>
      </c>
      <c r="J77" s="2" t="s">
        <v>65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f>B77</f>
        <v>8.8253769999999995E-2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G77" s="2" t="s">
        <v>64</v>
      </c>
      <c r="AH77" s="6">
        <v>0</v>
      </c>
      <c r="AI77" s="6">
        <v>0</v>
      </c>
      <c r="AJ77" s="6">
        <v>0</v>
      </c>
      <c r="AK77" s="6">
        <v>0</v>
      </c>
      <c r="AL77" s="6">
        <v>9.9230772971006065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</row>
    <row r="78" spans="1:52" x14ac:dyDescent="0.2">
      <c r="A78" s="2" t="s">
        <v>66</v>
      </c>
      <c r="B78">
        <v>0.32650000000000001</v>
      </c>
      <c r="J78" s="2" t="s">
        <v>66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f>B78</f>
        <v>0.32650000000000001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G78" s="2" t="s">
        <v>65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11.330960705701298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</row>
    <row r="79" spans="1:52" x14ac:dyDescent="0.2">
      <c r="A79" s="2" t="s">
        <v>67</v>
      </c>
      <c r="B79">
        <v>1E-3</v>
      </c>
      <c r="J79" s="2" t="s">
        <v>67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f>B79</f>
        <v>1E-3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G79" s="2" t="s">
        <v>66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3.0627871362940273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0</v>
      </c>
    </row>
    <row r="80" spans="1:52" x14ac:dyDescent="0.2">
      <c r="A80" s="2" t="s">
        <v>68</v>
      </c>
      <c r="B80">
        <v>0.59451047999999995</v>
      </c>
      <c r="J80" s="2" t="s">
        <v>68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f>B80</f>
        <v>0.59451047999999995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G80" s="2" t="s">
        <v>67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1000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</row>
    <row r="81" spans="1:52" x14ac:dyDescent="0.2">
      <c r="A81" s="2" t="s">
        <v>69</v>
      </c>
      <c r="B81">
        <v>0.15183352</v>
      </c>
      <c r="J81" s="2" t="s">
        <v>69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f>B81</f>
        <v>0.15183352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G81" s="2" t="s">
        <v>68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1.6820561346538416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</row>
    <row r="82" spans="1:52" x14ac:dyDescent="0.2">
      <c r="A82" s="2" t="s">
        <v>70</v>
      </c>
      <c r="B82">
        <v>0.23369609</v>
      </c>
      <c r="J82" s="2" t="s">
        <v>70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f>B82</f>
        <v>0.23369609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G82" s="2" t="s">
        <v>69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6.5861609478592076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</row>
    <row r="83" spans="1:52" x14ac:dyDescent="0.2">
      <c r="A83" s="2" t="s">
        <v>71</v>
      </c>
      <c r="B83">
        <v>2.1029437299999998</v>
      </c>
      <c r="J83" s="2" t="s">
        <v>71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f>B83</f>
        <v>2.1029437299999998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G83" s="2" t="s">
        <v>70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4.2790617506694275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</row>
    <row r="84" spans="1:52" x14ac:dyDescent="0.2">
      <c r="A84" s="2" t="s">
        <v>72</v>
      </c>
      <c r="B84">
        <v>8.1081E-2</v>
      </c>
      <c r="J84" s="2" t="s">
        <v>72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f>B84</f>
        <v>8.1081E-2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G84" s="2" t="s">
        <v>71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0.47552389811210027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</row>
    <row r="85" spans="1:52" x14ac:dyDescent="0.2">
      <c r="A85" s="2" t="s">
        <v>73</v>
      </c>
      <c r="B85">
        <v>0.83825280000000002</v>
      </c>
      <c r="J85" s="2" t="s">
        <v>73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f>B85</f>
        <v>0.83825280000000002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G85" s="2" t="s">
        <v>72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12.333345666679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</row>
    <row r="86" spans="1:52" x14ac:dyDescent="0.2">
      <c r="A86" s="2" t="s">
        <v>74</v>
      </c>
      <c r="B86">
        <v>0.28972435000000002</v>
      </c>
      <c r="J86" s="2" t="s">
        <v>74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f>B86</f>
        <v>0.28972435000000002</v>
      </c>
      <c r="Z86" s="6">
        <v>0</v>
      </c>
      <c r="AA86" s="6">
        <v>0</v>
      </c>
      <c r="AB86" s="6">
        <v>0</v>
      </c>
      <c r="AC86" s="6">
        <v>0</v>
      </c>
      <c r="AG86" s="2" t="s">
        <v>73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1.1929575421638914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</row>
    <row r="87" spans="1:52" x14ac:dyDescent="0.2">
      <c r="A87" s="2" t="s">
        <v>75</v>
      </c>
      <c r="B87">
        <v>0.34719</v>
      </c>
      <c r="J87" s="2" t="s">
        <v>75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f>B87</f>
        <v>0.34719</v>
      </c>
      <c r="AA87" s="6">
        <v>0</v>
      </c>
      <c r="AB87" s="6">
        <v>0</v>
      </c>
      <c r="AC87" s="6">
        <v>0</v>
      </c>
      <c r="AG87" s="2" t="s">
        <v>74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3.4515566261517194</v>
      </c>
      <c r="AW87" s="6">
        <v>0</v>
      </c>
      <c r="AX87" s="6">
        <v>0</v>
      </c>
      <c r="AY87" s="6">
        <v>0</v>
      </c>
      <c r="AZ87" s="6">
        <v>0</v>
      </c>
    </row>
    <row r="88" spans="1:52" x14ac:dyDescent="0.2">
      <c r="A88" s="2" t="s">
        <v>76</v>
      </c>
      <c r="B88">
        <v>4.8399709999999999E-2</v>
      </c>
      <c r="J88" s="2" t="s">
        <v>76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f>B88</f>
        <v>4.8399709999999999E-2</v>
      </c>
      <c r="AB88" s="6">
        <v>0</v>
      </c>
      <c r="AC88" s="6">
        <v>0</v>
      </c>
      <c r="AG88" s="2" t="s">
        <v>75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2.8802672888044012</v>
      </c>
      <c r="AX88" s="6">
        <v>0</v>
      </c>
      <c r="AY88" s="6">
        <v>0</v>
      </c>
      <c r="AZ88" s="6">
        <v>0</v>
      </c>
    </row>
    <row r="89" spans="1:52" x14ac:dyDescent="0.2">
      <c r="A89" s="2" t="s">
        <v>77</v>
      </c>
      <c r="B89">
        <v>0.2712</v>
      </c>
      <c r="J89" s="2" t="s">
        <v>77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f>B89</f>
        <v>0.2712</v>
      </c>
      <c r="AC89" s="6">
        <v>0</v>
      </c>
      <c r="AG89" s="2" t="s">
        <v>76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20.661280821723931</v>
      </c>
      <c r="AY89" s="6">
        <v>0</v>
      </c>
      <c r="AZ89" s="6">
        <v>0</v>
      </c>
    </row>
    <row r="90" spans="1:52" x14ac:dyDescent="0.2">
      <c r="A90" s="2" t="s">
        <v>78</v>
      </c>
      <c r="B90">
        <v>0.58891389000000005</v>
      </c>
      <c r="J90" s="2" t="s">
        <v>78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f>B90</f>
        <v>0.58891389000000005</v>
      </c>
      <c r="AG90" s="2" t="s">
        <v>77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3.6873156342182893</v>
      </c>
      <c r="AZ90" s="6">
        <v>0</v>
      </c>
    </row>
    <row r="91" spans="1:52" x14ac:dyDescent="0.2">
      <c r="B91" s="8" t="s">
        <v>10</v>
      </c>
      <c r="K91" s="5" t="s">
        <v>19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G91" s="2" t="s">
        <v>78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1.6980411176920958</v>
      </c>
    </row>
    <row r="92" spans="1:52" x14ac:dyDescent="0.2">
      <c r="B92" t="s">
        <v>79</v>
      </c>
      <c r="AH92" s="5" t="s">
        <v>20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</row>
    <row r="93" spans="1:52" x14ac:dyDescent="0.2">
      <c r="AH93" s="4" t="s">
        <v>80</v>
      </c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</sheetData>
  <mergeCells count="15">
    <mergeCell ref="CC37:CU37"/>
    <mergeCell ref="B18:G18"/>
    <mergeCell ref="CZ37:DR37"/>
    <mergeCell ref="K91:AC91"/>
    <mergeCell ref="AH92:AZ92"/>
    <mergeCell ref="AH93:AZ93"/>
    <mergeCell ref="BE37:BW37"/>
    <mergeCell ref="BE38:BW38"/>
    <mergeCell ref="B51:G51"/>
    <mergeCell ref="B52:G52"/>
    <mergeCell ref="K37:AD37"/>
    <mergeCell ref="AH37:BA37"/>
    <mergeCell ref="B4:G4"/>
    <mergeCell ref="K9:P9"/>
    <mergeCell ref="AH9:AM9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Other kerosene</vt:lpstr>
      <vt:lpstr>Fuel oil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Heun</dc:creator>
  <cp:lastModifiedBy>Matthew Heun</cp:lastModifiedBy>
  <dcterms:created xsi:type="dcterms:W3CDTF">2026-10-04T17:10:12Z</dcterms:created>
  <dcterms:modified xsi:type="dcterms:W3CDTF">2026-10-04T22:22:50Z</dcterms:modified>
</cp:coreProperties>
</file>